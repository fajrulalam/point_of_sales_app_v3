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7" sheetId="3" r:id="rId6"/>
    <sheet state="visible" name="Sheet6" sheetId="4" r:id="rId7"/>
    <sheet state="visible" name="Sheet4" sheetId="5" r:id="rId8"/>
    <sheet state="visible" name="Sheet5" sheetId="6" r:id="rId9"/>
  </sheets>
  <definedNames/>
  <calcPr/>
</workbook>
</file>

<file path=xl/sharedStrings.xml><?xml version="1.0" encoding="utf-8"?>
<sst xmlns="http://schemas.openxmlformats.org/spreadsheetml/2006/main" count="2480" uniqueCount="940">
  <si>
    <t>nomorTelpon</t>
  </si>
  <si>
    <t>honoraryName</t>
  </si>
  <si>
    <t>statusAktif</t>
  </si>
  <si>
    <t>kodeAsrama</t>
  </si>
  <si>
    <t>namaOrangTua</t>
  </si>
  <si>
    <t>fotoProfil</t>
  </si>
  <si>
    <t>programStudi</t>
  </si>
  <si>
    <t>mukim</t>
  </si>
  <si>
    <t>tanggalLahir</t>
  </si>
  <si>
    <t>nama</t>
  </si>
  <si>
    <t>namaPanggilan</t>
  </si>
  <si>
    <t>kotaAsal</t>
  </si>
  <si>
    <t>sudahDaftarUlang</t>
  </si>
  <si>
    <t>kamar</t>
  </si>
  <si>
    <t>semester</t>
  </si>
  <si>
    <t>jenisKelamin</t>
  </si>
  <si>
    <t>alamatRumah</t>
  </si>
  <si>
    <t>nomorWalisantri</t>
  </si>
  <si>
    <t>jenjangPendidikan</t>
  </si>
  <si>
    <t>85230381563</t>
  </si>
  <si>
    <t>Mbak</t>
  </si>
  <si>
    <t>Aktif</t>
  </si>
  <si>
    <t>DU11_ChosyiahJadid</t>
  </si>
  <si>
    <t>Sofiyati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</si>
  <si>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</si>
  <si>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S1 keperawatan</t>
  </si>
  <si>
    <t>27-07-2003</t>
  </si>
  <si>
    <t>SOFIYA DANIYATUS SA'ADAH</t>
  </si>
  <si>
    <t>Sofiya</t>
  </si>
  <si>
    <t>Probolinggo</t>
  </si>
  <si>
    <t>-</t>
  </si>
  <si>
    <t>P</t>
  </si>
  <si>
    <t>Kareng lor, Kec.Kedopok, Kota Probolinggo</t>
  </si>
  <si>
    <t>Perguruan Tinggi</t>
  </si>
  <si>
    <t>81515540614</t>
  </si>
  <si>
    <t>Masykur</t>
  </si>
  <si>
    <r>
      <rPr>
        <rFont val="Calibri, sans-serif"/>
        <color rgb="FF1155CC"/>
        <sz val="11.0"/>
        <u/>
      </rPr>
      <t>https://firebasestorage.googleapis.com/v0/b/e-santren.appspot.com/o/fotoSantri%2FNailil%20Muna%20Wirda%20_0NGxPEte7FWm6rvCoHN3xGycwDF3?alt=media&amp;token=f81ae45d-789e-4202-a298-2ff701eade32</t>
    </r>
  </si>
  <si>
    <t>Pendidikan Agama Islam</t>
  </si>
  <si>
    <t>27-11-2006</t>
  </si>
  <si>
    <t>Nailil Muna Wirda</t>
  </si>
  <si>
    <t>Nailil</t>
  </si>
  <si>
    <t>KAB. MOJOKERTO</t>
  </si>
  <si>
    <t>DSN TERONG MALANG DS SIMBARINGIN KEC KUTOREJO KAB MOJOKERTO</t>
  </si>
  <si>
    <t>0895361138744</t>
  </si>
  <si>
    <t>Jahuri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</si>
  <si>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</si>
  <si>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S1 Keperawatan</t>
  </si>
  <si>
    <t>08-08-2003</t>
  </si>
  <si>
    <t>Fadhilatul Khumairoh</t>
  </si>
  <si>
    <t>Fadhila</t>
  </si>
  <si>
    <t>Rembang</t>
  </si>
  <si>
    <t>Desa Pandangan Kulon,RT 07/ RW 04, Kecamatan Kragan, Kabupaten Rembang</t>
  </si>
  <si>
    <t>81233371691</t>
  </si>
  <si>
    <t>Susifah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</si>
  <si>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</si>
  <si>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S1 Administrasi Bisnis</t>
  </si>
  <si>
    <t>21-10-2003</t>
  </si>
  <si>
    <t>Astrid Nurizza Saidah</t>
  </si>
  <si>
    <t>Astrid</t>
  </si>
  <si>
    <t>Lamongan</t>
  </si>
  <si>
    <t>85727348632</t>
  </si>
  <si>
    <t>Alumni</t>
  </si>
  <si>
    <t>Tukimin</t>
  </si>
  <si>
    <r>
      <rPr>
        <rFont val="Calibri, sans-serif"/>
        <color rgb="FF1155CC"/>
        <sz val="11.0"/>
        <u/>
      </rPr>
      <t>https://firebasestorage.googleapis.com/v0/b/e-santren.appspot.com/o/fotoSantri%2FAnna%20Rahmawati%20_1Ik1qjiA6rQxYI7KEI5QzH0V2TA3?alt=media&amp;token=b25d2a84-7f21-4edc-93cf-3e518870891b</t>
    </r>
  </si>
  <si>
    <t>15-04-2002</t>
  </si>
  <si>
    <t>Anna Rahmawati</t>
  </si>
  <si>
    <t>Anna</t>
  </si>
  <si>
    <t>Kab.Semarang</t>
  </si>
  <si>
    <t>Bumiharjo, Kec.Getasan, Kab.Semarang</t>
  </si>
  <si>
    <t>82138373183</t>
  </si>
  <si>
    <t>Nurhadi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</si>
  <si>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</si>
  <si>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Sistem Informasi</t>
  </si>
  <si>
    <t>18-07-2002</t>
  </si>
  <si>
    <t>Afanin Nuria Rifdah</t>
  </si>
  <si>
    <t>Afanin</t>
  </si>
  <si>
    <t>Purworejo</t>
  </si>
  <si>
    <t>Keseneng, Purworejo</t>
  </si>
  <si>
    <t xml:space="preserve">6285608625860 </t>
  </si>
  <si>
    <t>Dulkawi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</si>
  <si>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</si>
  <si>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D3 keperawatan</t>
  </si>
  <si>
    <t>04-04-2004</t>
  </si>
  <si>
    <t>Nor laili</t>
  </si>
  <si>
    <t>laili</t>
  </si>
  <si>
    <t>Pamekasan</t>
  </si>
  <si>
    <t>Ponjanan barat</t>
  </si>
  <si>
    <t>87850140112</t>
  </si>
  <si>
    <t>Sarpan (alm)/Sumarti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</si>
  <si>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</si>
  <si>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Profesi Ners</t>
  </si>
  <si>
    <t>19-10-2001</t>
  </si>
  <si>
    <t>Rohmathul Chahyani</t>
  </si>
  <si>
    <t>Rohma</t>
  </si>
  <si>
    <t>Gresik</t>
  </si>
  <si>
    <t>Desa Banjaran RT. 01 RW 01 Kec. Driyorejo Kab. Gresik</t>
  </si>
  <si>
    <t>82132557345</t>
  </si>
  <si>
    <t>Yatmin</t>
  </si>
  <si>
    <r>
      <rPr>
        <rFont val="Calibri, sans-serif"/>
        <color rgb="FF1155CC"/>
        <sz val="11.0"/>
        <u/>
      </rPr>
      <t>https://firebasestorage.googleapis.com/v0/b/e-santren.appspot.com/o/fotoSantri%2FDeswaratri%20Zyca%20Alverina_3gdMv3xd6NfB9qRF8Yk44XD9wg82?alt=media&amp;token=86e8c8c2-80d7-4b82-97fc-20bb3706fe3d</t>
    </r>
  </si>
  <si>
    <t>10-12-2004</t>
  </si>
  <si>
    <t>Deswaratri Zyca Alverina</t>
  </si>
  <si>
    <t>Deswa</t>
  </si>
  <si>
    <t>Nganjuk</t>
  </si>
  <si>
    <t>Ds. Ngliman Kec.Sawahan Kab. Nganjuk</t>
  </si>
  <si>
    <t>85706546209</t>
  </si>
  <si>
    <t>Subandi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</si>
  <si>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</si>
  <si>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Pgmi</t>
  </si>
  <si>
    <t>12-03-2005</t>
  </si>
  <si>
    <t>Adella Eka Dista oktafiani</t>
  </si>
  <si>
    <t>Della</t>
  </si>
  <si>
    <t>Bendosukun</t>
  </si>
  <si>
    <t>Dsn.Bendosukun DS.Slaharwotan kec.ngimbang kab.Lamongan</t>
  </si>
  <si>
    <t>82132795556</t>
  </si>
  <si>
    <t>Alm. Jumali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</si>
  <si>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</si>
  <si>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D3 Kebidanan</t>
  </si>
  <si>
    <t>28-06-2004</t>
  </si>
  <si>
    <t>Tri wulandari</t>
  </si>
  <si>
    <t>Wulan</t>
  </si>
  <si>
    <t>Pandaan - pasuruan</t>
  </si>
  <si>
    <t>pasuruan</t>
  </si>
  <si>
    <t>85645269637</t>
  </si>
  <si>
    <t>Musrifah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</si>
  <si>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</si>
  <si>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Administrasi bisnis</t>
  </si>
  <si>
    <t>30-09-2003</t>
  </si>
  <si>
    <t>Ajeng Fajrin Nasuha</t>
  </si>
  <si>
    <t>Ajeng</t>
  </si>
  <si>
    <t>Kebonagung ujung pangkah gresik</t>
  </si>
  <si>
    <t>89527220160</t>
  </si>
  <si>
    <t>Zainudin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</si>
  <si>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</si>
  <si>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Perawat</t>
  </si>
  <si>
    <t>29-07-2005</t>
  </si>
  <si>
    <t>Nur Azizah</t>
  </si>
  <si>
    <t>Azizah</t>
  </si>
  <si>
    <t>Palembang Sumatra Selatan</t>
  </si>
  <si>
    <t>Jalan Margorejo Semendawai suku III kabupaten Ogan Komering ulu Timur Palembang Sumatra Selatan</t>
  </si>
  <si>
    <t>82399597854</t>
  </si>
  <si>
    <t>Ahmad Munasir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</si>
  <si>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</si>
  <si>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PGMI</t>
  </si>
  <si>
    <t>24-12-2004</t>
  </si>
  <si>
    <t>Putri Munawaroh</t>
  </si>
  <si>
    <t>Putri</t>
  </si>
  <si>
    <t>Bojonegoro</t>
  </si>
  <si>
    <t>Rt.33 Rw.09 Dsn.Sumbergirang Ds.Jamberejo Kec.Kedungadem Kab.Bojonegoro</t>
  </si>
  <si>
    <t>81913080601</t>
  </si>
  <si>
    <t>Torimah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</si>
  <si>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</si>
  <si>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Sl ilmu keperawatan</t>
  </si>
  <si>
    <t>14-08-2024</t>
  </si>
  <si>
    <t>Masruroh</t>
  </si>
  <si>
    <t>Ruroh</t>
  </si>
  <si>
    <t>Sampang</t>
  </si>
  <si>
    <t>Pandiyangan robatal sampang</t>
  </si>
  <si>
    <t>89678962686</t>
  </si>
  <si>
    <t>Joko Supriyatno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</si>
  <si>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</si>
  <si>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PAI</t>
  </si>
  <si>
    <t>21-10-2002</t>
  </si>
  <si>
    <t>Shafira Agil Syafa'adhika</t>
  </si>
  <si>
    <t>shafira</t>
  </si>
  <si>
    <t>Surabaya</t>
  </si>
  <si>
    <t>Rungkut Lor V/42</t>
  </si>
  <si>
    <t>82146433107</t>
  </si>
  <si>
    <t>Asad umar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</si>
  <si>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</si>
  <si>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Pendidikan Bahasa inggris</t>
  </si>
  <si>
    <t>09-08-2024</t>
  </si>
  <si>
    <t>Uswatun qoyyimah</t>
  </si>
  <si>
    <t>Yiyin</t>
  </si>
  <si>
    <t>Jombang</t>
  </si>
  <si>
    <t>Rt 27 rw 04 pesantren prterongan</t>
  </si>
  <si>
    <t>83831333693</t>
  </si>
  <si>
    <t>Sugri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</si>
  <si>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</si>
  <si>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S1 Ilmu Keperawatan</t>
  </si>
  <si>
    <t>16-07-2003</t>
  </si>
  <si>
    <t>Syaqilah Nur Arofah</t>
  </si>
  <si>
    <t>Syaqila</t>
  </si>
  <si>
    <t>Tangerang</t>
  </si>
  <si>
    <t>Kp. Dukuh ds. Pasir kec. Kronjo kab. Tangerang-Banten</t>
  </si>
  <si>
    <t>81358688875</t>
  </si>
  <si>
    <t>Ismawati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</si>
  <si>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</si>
  <si>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23-03-2004</t>
  </si>
  <si>
    <t>Tyaz Umzilatun Rohmah</t>
  </si>
  <si>
    <t>Tyaz</t>
  </si>
  <si>
    <t>Pamekasan Madura</t>
  </si>
  <si>
    <t>Jl. Graha Kencana Blok BB 12 Pamekasan Madura</t>
  </si>
  <si>
    <t>85828907762</t>
  </si>
  <si>
    <t>Mukri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</si>
  <si>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</si>
  <si>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D3 kebidanan</t>
  </si>
  <si>
    <t>04-02-2005</t>
  </si>
  <si>
    <t>Siti Qurrotul Aini</t>
  </si>
  <si>
    <t>Aini</t>
  </si>
  <si>
    <t>Kalimantan Tengah</t>
  </si>
  <si>
    <t>85704283082</t>
  </si>
  <si>
    <t>Samsu arif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</si>
  <si>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</si>
  <si>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02-02-2002</t>
  </si>
  <si>
    <t>Salwa balya pahlevi</t>
  </si>
  <si>
    <t>Salwa</t>
  </si>
  <si>
    <t>Madiun</t>
  </si>
  <si>
    <t>Ds. Pacinan Kec. Balerejo Kab. Madiun</t>
  </si>
  <si>
    <t>81275902829</t>
  </si>
  <si>
    <t>Abdul Mukhid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</si>
  <si>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</si>
  <si>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17-01-2005</t>
  </si>
  <si>
    <t>Nur Kholivah</t>
  </si>
  <si>
    <t>oliv</t>
  </si>
  <si>
    <t>Pekanbaru, Riau</t>
  </si>
  <si>
    <t>Pare, Kediri</t>
  </si>
  <si>
    <t>82131779022</t>
  </si>
  <si>
    <t>Khoirun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</si>
  <si>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</si>
  <si>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09-10-2004</t>
  </si>
  <si>
    <t>Uunnaniyatun</t>
  </si>
  <si>
    <t>Uun</t>
  </si>
  <si>
    <t>Sumenep</t>
  </si>
  <si>
    <t>Sumenep, Madura</t>
  </si>
  <si>
    <t>0877-4567-5119</t>
  </si>
  <si>
    <t>83144419132</t>
  </si>
  <si>
    <t>Muhammad Yasin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</si>
  <si>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</si>
  <si>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21-07-2004</t>
  </si>
  <si>
    <t>SITI AL MUZAROH</t>
  </si>
  <si>
    <t>Muza</t>
  </si>
  <si>
    <t>Sidoarjo</t>
  </si>
  <si>
    <t>Desa Glagaharum RT 11 RW 03 Porong Sidoarjo</t>
  </si>
  <si>
    <t>89688028937</t>
  </si>
  <si>
    <t>Misro</t>
  </si>
  <si>
    <r>
      <rPr>
        <rFont val="Calibri, sans-serif"/>
        <color rgb="FF1155CC"/>
        <sz val="11.0"/>
        <u/>
      </rPr>
      <t>https://firebasestorage.googleapis.com/v0/b/e-santren.appspot.com/o/fotoSantri%2FIndah%20Irmawati%20_DlqvCfPXABUCNSYi8BCiSNjqLt13?alt=media&amp;token=0623594f-fc57-4d56-99a9-4c39f9e59c3e</t>
    </r>
  </si>
  <si>
    <t>Administrasi Bisnis</t>
  </si>
  <si>
    <t>29-05-2001</t>
  </si>
  <si>
    <t>Indah Irmawati</t>
  </si>
  <si>
    <t>Irma</t>
  </si>
  <si>
    <t>Sumengko, Wringinanom Gresik</t>
  </si>
  <si>
    <t>85856809606</t>
  </si>
  <si>
    <t>Ach. Zahri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</si>
  <si>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</si>
  <si>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11-01-2001</t>
  </si>
  <si>
    <t>Ananda Rifat Ayuputri</t>
  </si>
  <si>
    <t>Nanda/rifat</t>
  </si>
  <si>
    <t>Sampang, madura. Jawa timur</t>
  </si>
  <si>
    <t>85604887236</t>
  </si>
  <si>
    <t>Tajad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</si>
  <si>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</si>
  <si>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11-11-2006</t>
  </si>
  <si>
    <t>Nayla nur Fauziah</t>
  </si>
  <si>
    <t>Nayla</t>
  </si>
  <si>
    <t>DS.sumbergirang DS.sumbergirang kec Kedungadem Kab.bojonegoro</t>
  </si>
  <si>
    <t>0882003360151</t>
  </si>
  <si>
    <t>suwadi</t>
  </si>
  <si>
    <r>
      <rPr>
        <rFont val="Calibri, sans-serif"/>
        <color rgb="FF1155CC"/>
        <sz val="11.0"/>
        <u/>
      </rPr>
      <t>https://firebasestorage.googleapis.com/v0/b/e-santren.appspot.com/o/fotoSantri%2Ffarikhatun%20nisa'_HxQ6ra4niZg8BQkXQJJD4p5t2eU2?alt=media&amp;token=eaec5e46-dd90-4aca-8b30-345d5d67275e</t>
    </r>
  </si>
  <si>
    <t>S1 administrasi bisnis</t>
  </si>
  <si>
    <t>21-06-2006</t>
  </si>
  <si>
    <t>farikhatun nisa'</t>
  </si>
  <si>
    <t>nisa'</t>
  </si>
  <si>
    <t>Magelang</t>
  </si>
  <si>
    <t>RT 1 RW 9 deles citrosono Grabag Magelang</t>
  </si>
  <si>
    <t>82257337689</t>
  </si>
  <si>
    <t>Sucahyo</t>
  </si>
  <si>
    <r>
      <rPr>
        <rFont val="Calibri, sans-serif"/>
        <color rgb="FF1155CC"/>
        <sz val="11.0"/>
        <u/>
      </rPr>
      <t>https://firebasestorage.googleapis.com/v0/b/e-santren.appspot.com/o/fotoSantri%2FZahwa%20Dini%20Rahmawati%20_IoMEzEwPbDhJHN8AcnKBB3o3pD93?alt=media&amp;token=390eb1d5-982d-4ec6-b2b8-ea763e3de21f</t>
    </r>
  </si>
  <si>
    <t>S1 Ilmu keperawatan</t>
  </si>
  <si>
    <t>01-12-2006</t>
  </si>
  <si>
    <t>Zahwa Dini Rahmawati</t>
  </si>
  <si>
    <t>Zahwa</t>
  </si>
  <si>
    <t>Dsn.pilang,Ds.tejoasri, Laren.Lamongan</t>
  </si>
  <si>
    <t>85731106179</t>
  </si>
  <si>
    <t>abd haris</t>
  </si>
  <si>
    <r>
      <rPr>
        <rFont val="Calibri, sans-serif"/>
        <color rgb="FF1155CC"/>
        <sz val="11.0"/>
        <u/>
      </rPr>
      <t>https://firebasestorage.googleapis.com/v0/b/e-santren.appspot.com/o/fotoSantri%2Fmaulaya%20anjani%20_JEtUpxjGTlSQP7efFhhBJyrkYWw1?alt=media&amp;token=a96a5cd0-2743-4e39-9f88-86d1056b3076</t>
    </r>
  </si>
  <si>
    <t>pgmi</t>
  </si>
  <si>
    <t>09-10-2002</t>
  </si>
  <si>
    <t>maulaya anjani</t>
  </si>
  <si>
    <t>anjani</t>
  </si>
  <si>
    <t>kendal, jawa tengah</t>
  </si>
  <si>
    <t>lebosari,kangkung,kab. kendal, jawa tengah</t>
  </si>
  <si>
    <t>85748123782</t>
  </si>
  <si>
    <t>Sucipto Samporno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</si>
  <si>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</si>
  <si>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28-04-2004</t>
  </si>
  <si>
    <t>Cicik Nur Sintiyah</t>
  </si>
  <si>
    <t>CICIK</t>
  </si>
  <si>
    <t>Dsn. Tanjung Kulon Ds. MUNUNGREJO Kec. Ngimbang Kab. Lamongan</t>
  </si>
  <si>
    <t>85821897114</t>
  </si>
  <si>
    <t>Tohak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</si>
  <si>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</si>
  <si>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11-08-2024</t>
  </si>
  <si>
    <t>Anisa Nurcahyati</t>
  </si>
  <si>
    <t>Anisa</t>
  </si>
  <si>
    <t>lumajang</t>
  </si>
  <si>
    <t>yosowilangun yosowilangun jawa timur</t>
  </si>
  <si>
    <t>82140605501</t>
  </si>
  <si>
    <t>Muhyiddin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</si>
  <si>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</si>
  <si>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Pai</t>
  </si>
  <si>
    <t>01-08-2004</t>
  </si>
  <si>
    <t>Haqiqatul aqilah</t>
  </si>
  <si>
    <t>Ika</t>
  </si>
  <si>
    <t>Bawean</t>
  </si>
  <si>
    <t>85231855789</t>
  </si>
  <si>
    <t>Imron Rosadi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</si>
  <si>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</si>
  <si>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19-09-2002</t>
  </si>
  <si>
    <t>Muzayyanatul Jannah Rosadi</t>
  </si>
  <si>
    <t>Ana</t>
  </si>
  <si>
    <t>Tanjung Rejo, Tongas, Probolinggo</t>
  </si>
  <si>
    <t>85648848766</t>
  </si>
  <si>
    <t>Toyid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</si>
  <si>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</si>
  <si>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16-06-2005</t>
  </si>
  <si>
    <t>Trisnawati Sholekha</t>
  </si>
  <si>
    <t>Trisna</t>
  </si>
  <si>
    <t>Dsn. Tlatah, Ds. Wateswinanggun, Kec. Sambeng, Kab. Lamongan</t>
  </si>
  <si>
    <t>87875300953</t>
  </si>
  <si>
    <t>Murjiatno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</si>
  <si>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</si>
  <si>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Psikologi</t>
  </si>
  <si>
    <t>18-02-2001</t>
  </si>
  <si>
    <t>Rofif Wafiqoh</t>
  </si>
  <si>
    <t>Rofif</t>
  </si>
  <si>
    <t>Surakarta</t>
  </si>
  <si>
    <t>Dawung Wetan RT 04/08 Danukusuman, Serengan, Surakarta</t>
  </si>
  <si>
    <t>85707727515</t>
  </si>
  <si>
    <t>Wajak witono</t>
  </si>
  <si>
    <r>
      <rPr>
        <rFont val="Calibri, sans-serif"/>
        <color rgb="FF1155CC"/>
        <sz val="11.0"/>
        <u/>
      </rPr>
      <t>https://firebasestorage.googleapis.com/v0/b/e-santren.appspot.com/o/fotoSantri%2FWafiyah%20Nurus%20Salamah_Mx0uZSX9XjgevBOjnQnsAxBJ7pz2?alt=media&amp;token=8c7cbb80-6162-460e-bb49-19f25e2cfa49</t>
    </r>
  </si>
  <si>
    <t>S1 PAI</t>
  </si>
  <si>
    <t>24-06-2006</t>
  </si>
  <si>
    <t>Wafiyah Nurus Salamah</t>
  </si>
  <si>
    <t>wafiya</t>
  </si>
  <si>
    <t>Mojokerto</t>
  </si>
  <si>
    <t>Dsn.Sidowangun Ds.Kedungsari Kec.Kemlagi Kab.Mojokerto</t>
  </si>
  <si>
    <t>0856-5595-3839</t>
  </si>
  <si>
    <t>81703242871</t>
  </si>
  <si>
    <t>ACH. Busiri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</si>
  <si>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</si>
  <si>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Pendidikan Guru Madrasah Ibtidaiyah</t>
  </si>
  <si>
    <t>11-06-2002</t>
  </si>
  <si>
    <t>Utamimah</t>
  </si>
  <si>
    <t>Utami</t>
  </si>
  <si>
    <t>Jl. Wonosari Lor GG 5b. No 14b, Wonokusumo, Semampir, Surabaya</t>
  </si>
  <si>
    <t>85852850865</t>
  </si>
  <si>
    <t>Busairi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</si>
  <si>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</si>
  <si>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16-04-2003</t>
  </si>
  <si>
    <t>Vina Auliya</t>
  </si>
  <si>
    <t>Vina</t>
  </si>
  <si>
    <t>Madura</t>
  </si>
  <si>
    <t>Jl. Taman malaka timur no. 140</t>
  </si>
  <si>
    <t>82387153327</t>
  </si>
  <si>
    <t>Sarno</t>
  </si>
  <si>
    <r>
      <rPr>
        <rFont val="Calibri, sans-serif"/>
        <color rgb="FF1155CC"/>
        <sz val="11.0"/>
        <u/>
      </rPr>
      <t>https://firebasestorage.googleapis.com/v0/b/e-santren.appspot.com/o/fotoSantri%2FSiti%20munawaroh_ORYvJzxGT4gaNqcm0NyRX4PHtbg2?alt=media&amp;token=d09e86fd-5277-45d7-91b3-a4ef7613ce3c</t>
    </r>
  </si>
  <si>
    <t>Hukum Keluarga</t>
  </si>
  <si>
    <t>11-11-2002</t>
  </si>
  <si>
    <t>Siti munawaroh</t>
  </si>
  <si>
    <t>Muna</t>
  </si>
  <si>
    <t>Riau</t>
  </si>
  <si>
    <t>Taluk Kuantan, Riau</t>
  </si>
  <si>
    <t>0813-9074-4062</t>
  </si>
  <si>
    <t>82220344471</t>
  </si>
  <si>
    <t>Slamet</t>
  </si>
  <si>
    <r>
      <rPr>
        <rFont val="Calibri, sans-serif"/>
        <color rgb="FF1155CC"/>
        <sz val="11.0"/>
        <u/>
      </rPr>
      <t>https://firebasestorage.googleapis.com/v0/b/e-santren.appspot.com/o/fotoSantri%2FDiah%20ayu%20titis_OYPS4cIRPrakN3thbtYugiTLRaV2?alt=media&amp;token=b2472e59-f097-4127-8f14-cfa4c5233c8b</t>
    </r>
  </si>
  <si>
    <t>20-01-2006</t>
  </si>
  <si>
    <t>Diah ayu titis</t>
  </si>
  <si>
    <t>Diah</t>
  </si>
  <si>
    <t>Sragen</t>
  </si>
  <si>
    <t>Musuk , Sambirejo, Sragen</t>
  </si>
  <si>
    <t>89637660828</t>
  </si>
  <si>
    <t>Maria Dian Andrian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</si>
  <si>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</si>
  <si>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25-11-2005</t>
  </si>
  <si>
    <t>FELANDRIA AISYAWA SUNDOWO</t>
  </si>
  <si>
    <t>FELAN</t>
  </si>
  <si>
    <t>JOMBANG</t>
  </si>
  <si>
    <t>Ds. Wuluh, Kec. Kesamben, kab. Jombang</t>
  </si>
  <si>
    <t>85606303894</t>
  </si>
  <si>
    <t>Dewi Novarinda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</si>
  <si>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</si>
  <si>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25-10-2003</t>
  </si>
  <si>
    <t>Samarra Albiruni</t>
  </si>
  <si>
    <t>Rara</t>
  </si>
  <si>
    <t>Dusun Kramatjati Desa Selogudig Kulon Pajarakan Probolinggo</t>
  </si>
  <si>
    <t>81259982428</t>
  </si>
  <si>
    <t>Maryam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</si>
  <si>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</si>
  <si>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Muslima Dina</t>
  </si>
  <si>
    <t>Dina</t>
  </si>
  <si>
    <t>Baweann Gresik , Beringinan sungai teluk Sangkapura</t>
  </si>
  <si>
    <t>87758202142</t>
  </si>
  <si>
    <t>M. Ayyub dan Sitti Jami'ah</t>
  </si>
  <si>
    <r>
      <rPr>
        <rFont val="Calibri, sans-serif"/>
        <color rgb="FF1155CC"/>
        <sz val="11.0"/>
        <u/>
      </rPr>
      <t>https://firebasestorage.googleapis.com/v0/b/e-santren.appspot.com/o/fotoSantri%2FUmmatil%20Khairiyah%20_UfCeGm0H7De3AALMEIPiaC9bNpz1?alt=media&amp;token=f58757dc-e76a-4260-a233-a3c398acb280</t>
    </r>
  </si>
  <si>
    <t>S1 Sastra Inggris</t>
  </si>
  <si>
    <t>23-03-2002</t>
  </si>
  <si>
    <t>Ummatil Khairiyah</t>
  </si>
  <si>
    <t>Riya</t>
  </si>
  <si>
    <t>Sumenep Madura</t>
  </si>
  <si>
    <t>Duko Rubaru Sumenep Madura</t>
  </si>
  <si>
    <t>81392085640</t>
  </si>
  <si>
    <t>Boyong</t>
  </si>
  <si>
    <t>Abdul Ro'uf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</si>
  <si>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</si>
  <si>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17-06-2002</t>
  </si>
  <si>
    <t>Faridatul farihah</t>
  </si>
  <si>
    <t>Farida</t>
  </si>
  <si>
    <t>Kabupaten Kutai Timur</t>
  </si>
  <si>
    <t>Jl. Bukit indah, sepaso barat, bengalon, kutai timur, kalimantan Timur</t>
  </si>
  <si>
    <t>81539282914</t>
  </si>
  <si>
    <t>Selamet riyanto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</si>
  <si>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</si>
  <si>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Pendidikan agama Islam</t>
  </si>
  <si>
    <t>29-05-2004</t>
  </si>
  <si>
    <t>Reni Sukmawati</t>
  </si>
  <si>
    <t>Reni</t>
  </si>
  <si>
    <t>Palembang, Banyuasin, selat penuguan</t>
  </si>
  <si>
    <t>Lorong mangga 1 RT/RW 011/003 sumber Mukti selat penuguan</t>
  </si>
  <si>
    <t>81944590945</t>
  </si>
  <si>
    <t>Endah</t>
  </si>
  <si>
    <r>
      <rPr>
        <rFont val="Calibri, sans-serif"/>
        <color rgb="FF1155CC"/>
        <sz val="11.0"/>
        <u/>
      </rPr>
      <t>https://firebasestorage.googleapis.com/v0/b/e-santren.appspot.com/o/fotoSantri%2FIndah%20nur%20aini_WvZD7jk6PhMX7rkpXo2T4tjzT1J2?alt=media&amp;token=fa7b968e-de1f-4fed-af7d-2d297e7cd15c</t>
    </r>
  </si>
  <si>
    <t>Pendidikan agama islam (PAI)</t>
  </si>
  <si>
    <t>09-06-2005</t>
  </si>
  <si>
    <t>Indah nur aini</t>
  </si>
  <si>
    <t>Up.paiton Perum pjb jl.konveyor no.7</t>
  </si>
  <si>
    <t>82143233424</t>
  </si>
  <si>
    <t>SARIYEM</t>
  </si>
  <si>
    <r>
      <rPr>
        <rFont val="Calibri, sans-serif"/>
        <color rgb="FF1155CC"/>
        <sz val="11.0"/>
        <u/>
      </rPr>
      <t>https://firebasestorage.googleapis.com/v0/b/e-santren.appspot.com/o/fotoSantri%2FALPII%20NIHAYATUS%20SA'ADAH_XrSufwz9WSPwR7V2GSypp2VJl0F2?alt=media&amp;token=cd49f2d7-e2d1-432b-9ea0-f2882568a106</t>
    </r>
  </si>
  <si>
    <t>ADMINISTRASI BISNIS</t>
  </si>
  <si>
    <t>02-12-2002</t>
  </si>
  <si>
    <t>ALPII NIHAYATUS SA'ADAH</t>
  </si>
  <si>
    <t>Alpii</t>
  </si>
  <si>
    <t>Trenggalek</t>
  </si>
  <si>
    <t>TRENGGALEK</t>
  </si>
  <si>
    <t>0881026332138</t>
  </si>
  <si>
    <t>Subagyo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</si>
  <si>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</si>
  <si>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24-08-2003</t>
  </si>
  <si>
    <t>Shifa Taftazani Zahro</t>
  </si>
  <si>
    <t>Shifa</t>
  </si>
  <si>
    <t>Temanggung</t>
  </si>
  <si>
    <t>Gintung Giripurno RT 10 RW 05,Ngadirejo,Temanggung,Jawa Tengah</t>
  </si>
  <si>
    <t>85850811959</t>
  </si>
  <si>
    <t>Supardi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</si>
  <si>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</si>
  <si>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18-12-2004</t>
  </si>
  <si>
    <t>Yoja Dwi Arinandi</t>
  </si>
  <si>
    <t>yoja</t>
  </si>
  <si>
    <t>Dsn. Gabus Ds. Gabusbanaran Ke. Tembelang Kab. Jombang</t>
  </si>
  <si>
    <t>81233968271</t>
  </si>
  <si>
    <t>Sartono Wijaya Sasmita</t>
  </si>
  <si>
    <r>
      <rPr>
        <rFont val="Calibri, sans-serif"/>
        <color rgb="FF1155CC"/>
        <sz val="11.0"/>
        <u/>
      </rPr>
      <t>https://firebasestorage.googleapis.com/v0/b/e-santren.appspot.com/o/fotoSantri%2FNuril%20Hikmatul%20Laili_ZlpAiEsO9UOrPlAN0HQgDnLGnVh1?alt=media&amp;token=0523fe13-7a12-474c-836a-090e9bcc5f75</t>
    </r>
  </si>
  <si>
    <t>Pendidikan matematika</t>
  </si>
  <si>
    <t>19-04-2002</t>
  </si>
  <si>
    <t>Nuril Hikmatul Laili</t>
  </si>
  <si>
    <t>Nuril</t>
  </si>
  <si>
    <t>85290556613</t>
  </si>
  <si>
    <t>Senok sulasno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</si>
  <si>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</si>
  <si>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06-08-2005</t>
  </si>
  <si>
    <t>Nadia Chusnatul Amiroh</t>
  </si>
  <si>
    <t>Nadia</t>
  </si>
  <si>
    <t>Gunungsari, Windusari Magelang Jawa Tengah</t>
  </si>
  <si>
    <t>85646464301</t>
  </si>
  <si>
    <t>Yon Sudriyono</t>
  </si>
  <si>
    <r>
      <rPr>
        <rFont val="Calibri, sans-serif"/>
        <color rgb="FF1155CC"/>
        <sz val="11.0"/>
        <u/>
      </rPr>
      <t>https://firebasestorage.googleapis.com/v0/b/e-santren.appspot.com/o/fotoSantri%2FIsma%20Salsadila%20_aeuKUP5svwXR9HlvAppUKPMhuss1?alt=media&amp;token=e314d588-a295-4c27-851f-df9f6d8e3050</t>
    </r>
  </si>
  <si>
    <t>09-05-2001</t>
  </si>
  <si>
    <t>Isma Salsadila</t>
  </si>
  <si>
    <t>Isma</t>
  </si>
  <si>
    <t>Kalimantan Timur</t>
  </si>
  <si>
    <t>87851960741</t>
  </si>
  <si>
    <t>St. Halimah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</si>
  <si>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</si>
  <si>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27-06-2001</t>
  </si>
  <si>
    <t>Fatima</t>
  </si>
  <si>
    <t>Fatim</t>
  </si>
  <si>
    <t>Sampang, Madura</t>
  </si>
  <si>
    <t>Samapang, Madura</t>
  </si>
  <si>
    <t>85972709663</t>
  </si>
  <si>
    <t>Ngadiran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</si>
  <si>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</si>
  <si>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04-04-2003</t>
  </si>
  <si>
    <t>Maya Puji Lestari</t>
  </si>
  <si>
    <t>Maya</t>
  </si>
  <si>
    <t>Temanggung Jawa Tengah</t>
  </si>
  <si>
    <t>81234305892</t>
  </si>
  <si>
    <t>Siti solichatun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</si>
  <si>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</si>
  <si>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26-06-2005</t>
  </si>
  <si>
    <t>Shofi Inayah</t>
  </si>
  <si>
    <t>Shofi</t>
  </si>
  <si>
    <t>Palembang</t>
  </si>
  <si>
    <t>Tugumulyo Sumatera Selatan</t>
  </si>
  <si>
    <t>87849898319</t>
  </si>
  <si>
    <t>Ummil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</si>
  <si>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</si>
  <si>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29-04-2004</t>
  </si>
  <si>
    <t>Anisatul umronah</t>
  </si>
  <si>
    <t>Nisa</t>
  </si>
  <si>
    <t>Sungon Suko sidoarjo rt20 rw06</t>
  </si>
  <si>
    <t>0 878-8000-6503</t>
  </si>
  <si>
    <t>85817888406</t>
  </si>
  <si>
    <t>Salim</t>
  </si>
  <si>
    <r>
      <rPr>
        <rFont val="Calibri, sans-serif"/>
        <color rgb="FF1155CC"/>
        <sz val="11.0"/>
        <u/>
      </rPr>
      <t>https://firebasestorage.googleapis.com/v0/b/e-santren.appspot.com/o/fotoSantri%2FSiti%20Alimatus%20Sahroh%20_dipyiNMWqNO9pPu9USJr6dCdUW73?alt=media&amp;token=2fd1c6a9-5c06-4ee5-88fc-9b5d6dd4afbf</t>
    </r>
  </si>
  <si>
    <t>19-12-2004</t>
  </si>
  <si>
    <t>Siti Alimatus Sahroh</t>
  </si>
  <si>
    <t>Sahroh</t>
  </si>
  <si>
    <t>Dsn. Balong Ds. Jegreg Kec. Modo Kab. Lamongan</t>
  </si>
  <si>
    <t>89643659180</t>
  </si>
  <si>
    <t>Marjuk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</si>
  <si>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</si>
  <si>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06-03-2002</t>
  </si>
  <si>
    <t>Sylvani Ibrahim</t>
  </si>
  <si>
    <t>Sylvani</t>
  </si>
  <si>
    <t>JAKARTA</t>
  </si>
  <si>
    <t>Kp. Kramat Rt03/04 No.54 Kel. Setu Kec.Cipayung, Jakarta Timur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</si>
  <si>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</si>
  <si>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Hukum keluarga</t>
  </si>
  <si>
    <t>Siti Munawaroh</t>
  </si>
  <si>
    <t>83110072259</t>
  </si>
  <si>
    <t>Samjudi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</si>
  <si>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</si>
  <si>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S1 Pendidikan matematika</t>
  </si>
  <si>
    <t>15-06-2004</t>
  </si>
  <si>
    <t>Zakiyatul fahera</t>
  </si>
  <si>
    <t>Hera</t>
  </si>
  <si>
    <t>8895109540</t>
  </si>
  <si>
    <t>Abdul Kholiq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</si>
  <si>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</si>
  <si>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S1 ilmu keperawatan</t>
  </si>
  <si>
    <t>05-10-2004</t>
  </si>
  <si>
    <t>Syarifa Alifna Rahma</t>
  </si>
  <si>
    <t>Syarifa</t>
  </si>
  <si>
    <t>85232479151</t>
  </si>
  <si>
    <t>Umi Rodliyah</t>
  </si>
  <si>
    <r>
      <rPr>
        <rFont val="Calibri, sans-serif"/>
        <color rgb="FF1155CC"/>
        <sz val="11.0"/>
        <u/>
      </rPr>
      <t>https://firebasestorage.googleapis.com/v0/b/e-santren.appspot.com/o/fotoSantri%2FKartika%20Maharani%20_jPb9rERSomdzrV0X8S12z3gNHGT2?alt=media&amp;token=69195537-aae4-41d6-8150-d5fbd14b2502</t>
    </r>
  </si>
  <si>
    <t>01-07-2001</t>
  </si>
  <si>
    <t>Kartika Maharani</t>
  </si>
  <si>
    <t>Rani</t>
  </si>
  <si>
    <t>Prumtas 3 Blok A3/38, Popoh-Wonoayu, Sidoarjo</t>
  </si>
  <si>
    <t>0813-5646-6791</t>
  </si>
  <si>
    <t>85707744517</t>
  </si>
  <si>
    <t>Sugiman</t>
  </si>
  <si>
    <r>
      <rPr>
        <rFont val="Calibri, sans-serif"/>
        <color rgb="FF1155CC"/>
        <sz val="11.0"/>
        <u/>
      </rPr>
      <t>https://firebasestorage.googleapis.com/v0/b/e-santren.appspot.com/o/fotoSantri%2FLailatul%20Nur%20Aifa%20Rahmawati_kZXr2bl4zMafKIduRVsPeYY7Rx62?alt=media&amp;token=a92cf9c5-7830-4186-a103-c043475e6c30</t>
    </r>
  </si>
  <si>
    <t>15-02-2006</t>
  </si>
  <si>
    <t>Lailatul Nur Aifa Rahmawati</t>
  </si>
  <si>
    <t>Laila</t>
  </si>
  <si>
    <t>Ds.Girik, Dsn.Tuwung, Kec. Ngimbang, Kab. Lamongan</t>
  </si>
  <si>
    <t>82139819010</t>
  </si>
  <si>
    <t>Siti Fauzah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</si>
  <si>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</si>
  <si>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18-05-2003</t>
  </si>
  <si>
    <t>USWATUN HASANAH</t>
  </si>
  <si>
    <t>Uswatun</t>
  </si>
  <si>
    <t>Mentaras RT 04 RW 02, Kec. Dukun, Gresik</t>
  </si>
  <si>
    <t>81226428404</t>
  </si>
  <si>
    <t>Hartatik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</si>
  <si>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</si>
  <si>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D3 Keperawatan</t>
  </si>
  <si>
    <t>24-05-2003</t>
  </si>
  <si>
    <t>Siti rohana</t>
  </si>
  <si>
    <t>Nana</t>
  </si>
  <si>
    <t>Rembang Jawa Tengah</t>
  </si>
  <si>
    <t>DS.sedan kec.sedan kab.rembang Jawa Tengah</t>
  </si>
  <si>
    <t>Subakir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</si>
  <si>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</si>
  <si>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16-02-2002</t>
  </si>
  <si>
    <t>Diana Cahyaningsih</t>
  </si>
  <si>
    <t>Diana</t>
  </si>
  <si>
    <t>Rembang, Jawa Tengah.</t>
  </si>
  <si>
    <t>82333878623</t>
  </si>
  <si>
    <t>Sisyanto</t>
  </si>
  <si>
    <r>
      <rPr>
        <rFont val="Calibri, sans-serif"/>
        <color rgb="FF1155CC"/>
        <sz val="11.0"/>
        <u/>
      </rPr>
      <t>https://firebasestorage.googleapis.com/v0/b/e-santren.appspot.com/o/fotoSantri%2FUhti%20Amelia_omOeqO3rwWPmsIPUWDCw96TZO3e2?alt=media&amp;token=472cbb43-62b6-4ac9-bb9c-a7f6b84c3d55</t>
    </r>
  </si>
  <si>
    <t>S1 Sistem informasi</t>
  </si>
  <si>
    <t>06-04-2007</t>
  </si>
  <si>
    <t>Uhti Amelia</t>
  </si>
  <si>
    <t>Amel</t>
  </si>
  <si>
    <t>Ds. Jamberejo. Kec. Kedungadem. Kab Bojonegoro</t>
  </si>
  <si>
    <t>82141389375</t>
  </si>
  <si>
    <t>Mas'aidah</t>
  </si>
  <si>
    <r>
      <rPr>
        <rFont val="Calibri, sans-serif"/>
        <color rgb="FF1155CC"/>
        <sz val="11.0"/>
        <u/>
      </rPr>
      <t>https://firebasestorage.googleapis.com/v0/b/e-santren.appspot.com/o/fotoSantri%2FDatin%20febiola%20_oxJ2na8QXKP69t2PWWxxs94II1b2?alt=media&amp;token=5bcdb76e-64fd-4030-8cfc-82cb5a318dc1</t>
    </r>
  </si>
  <si>
    <t>11-02-2003</t>
  </si>
  <si>
    <t>Datin febiola</t>
  </si>
  <si>
    <t>Datin</t>
  </si>
  <si>
    <t>Tanjungori,kab, Gresik</t>
  </si>
  <si>
    <t>85925790692</t>
  </si>
  <si>
    <t>Moh Salim - supiatun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</si>
  <si>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</si>
  <si>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(Fbbp ) Pendidikan bahasa inggris</t>
  </si>
  <si>
    <t>11-09-2024</t>
  </si>
  <si>
    <t>Naslatulkamilah</t>
  </si>
  <si>
    <t>Ila</t>
  </si>
  <si>
    <t>Kangean</t>
  </si>
  <si>
    <t>Madura (Sumenep)-kangean</t>
  </si>
  <si>
    <t>85748552173</t>
  </si>
  <si>
    <t>Pramuhanto</t>
  </si>
  <si>
    <r>
      <rPr>
        <rFont val="Calibri, sans-serif"/>
        <color rgb="FF1155CC"/>
        <sz val="11.0"/>
        <u/>
      </rPr>
      <t>https://firebasestorage.googleapis.com/v0/b/e-santren.appspot.com/o/fotoSantri%2FSiti%20Fatimah%20Indah%20Pratama%20_pU2ZmFVK97hhrwaOLJFEg6y3l7k1?alt=media&amp;token=1d3f8edd-660a-4266-8e6b-8eaeef75a84c</t>
    </r>
  </si>
  <si>
    <t>17-10-2002</t>
  </si>
  <si>
    <t>Siti Fatimah Indah Pratama</t>
  </si>
  <si>
    <t>Indah/Fatimah</t>
  </si>
  <si>
    <t>Bakalan Sumobito Jombang</t>
  </si>
  <si>
    <t>89699837770</t>
  </si>
  <si>
    <t>Sapto wiyono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</si>
  <si>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</si>
  <si>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23-05-2003</t>
  </si>
  <si>
    <t>Meita Della Indarloecy</t>
  </si>
  <si>
    <t>sidoarjo</t>
  </si>
  <si>
    <t>Ds.Wonoayu Kab.Sidoarjo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</si>
  <si>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</si>
  <si>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Nanda</t>
  </si>
  <si>
    <t>Sampang, torjun, madura, jawa timur</t>
  </si>
  <si>
    <t>85266955416</t>
  </si>
  <si>
    <t>Supirman/Suhaila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</si>
  <si>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</si>
  <si>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07-01-2006</t>
  </si>
  <si>
    <t>Maisunnisa' sulistin</t>
  </si>
  <si>
    <t>Kab. Ogan ilir. Kec. Payaraman. Desa tebedak 1 jalan lintas provinsi</t>
  </si>
  <si>
    <t>0858-0847-4442</t>
  </si>
  <si>
    <t>Bram Arimami</t>
  </si>
  <si>
    <r>
      <rPr>
        <rFont val="Calibri, sans-serif"/>
        <color rgb="FF1155CC"/>
        <sz val="11.0"/>
        <u/>
      </rPr>
      <t>https://firebasestorage.googleapis.com/v0/b/e-santren.appspot.com/o/fotoSantri%2FLembah%20Ayu%20Sukma%20Dewi_r23cE2zTaxM7lsH7DbnRxG5i5EJ3?alt=media&amp;token=a22d4f63-22fa-45a6-9efe-7191a785f410</t>
    </r>
  </si>
  <si>
    <t>05-04-2004</t>
  </si>
  <si>
    <t>Lembah Ayu Sukma Dewi</t>
  </si>
  <si>
    <t>Lembah</t>
  </si>
  <si>
    <t>Jl. Lawu X/3, Perum. Wates, Kec. Magersari, Kota Mojokerto</t>
  </si>
  <si>
    <t>0857-1615-7204</t>
  </si>
  <si>
    <t>87764867208</t>
  </si>
  <si>
    <t>Rohim Afendi / Kaswiyah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</si>
  <si>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</si>
  <si>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18-10-2003</t>
  </si>
  <si>
    <t>IIS OKTAVIA</t>
  </si>
  <si>
    <t>iis</t>
  </si>
  <si>
    <t>Serang</t>
  </si>
  <si>
    <t>Kab. Serang - Prov. Banten</t>
  </si>
  <si>
    <t>85733646157</t>
  </si>
  <si>
    <t>Nanik Sulistiorini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</si>
  <si>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</si>
  <si>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12-04-2003</t>
  </si>
  <si>
    <t>Imelda Aprilia Kharisma Putri</t>
  </si>
  <si>
    <t>Imelda</t>
  </si>
  <si>
    <t>85852696807</t>
  </si>
  <si>
    <t>Dimyati dan Lasmiati</t>
  </si>
  <si>
    <r>
      <rPr>
        <rFont val="Calibri, sans-serif"/>
        <color rgb="FF1155CC"/>
        <sz val="11.0"/>
        <u/>
      </rPr>
      <t>https://firebasestorage.googleapis.com/v0/b/e-santren.appspot.com/o/fotoSantri%2FHidayatul%20Malika_uaCROHm2tSa5NyYZxaxN8KprlIV2?alt=media&amp;token=61c59889-d49a-457e-9c2a-8aa91afa7871</t>
    </r>
  </si>
  <si>
    <t>11-08-2002</t>
  </si>
  <si>
    <t>Hidayatul Malika</t>
  </si>
  <si>
    <t>Malika</t>
  </si>
  <si>
    <t>Tugumulyo, Kec. Lempuing, Kab. Oki, Sumsel</t>
  </si>
  <si>
    <t>82131050854</t>
  </si>
  <si>
    <t>Bahrudin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</si>
  <si>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</si>
  <si>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24-08-2000</t>
  </si>
  <si>
    <t>Dyah kurnia ningsih</t>
  </si>
  <si>
    <t>Dyah</t>
  </si>
  <si>
    <t>Jambi</t>
  </si>
  <si>
    <t>Des. Sumber sari, kec. Nibung, kab. Musirawas utara, Sumatra Selatan</t>
  </si>
  <si>
    <t>83831333692</t>
  </si>
  <si>
    <t>Jubedah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</si>
  <si>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</si>
  <si>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23-12-2006</t>
  </si>
  <si>
    <t>Syahro Atul Jannah</t>
  </si>
  <si>
    <t>Banten</t>
  </si>
  <si>
    <t>Tangerang Banten</t>
  </si>
  <si>
    <t>85936619468</t>
  </si>
  <si>
    <t>Moch buali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</si>
  <si>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</si>
  <si>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Pendidikan agama islam</t>
  </si>
  <si>
    <t>07-05-2004</t>
  </si>
  <si>
    <t>ZHUHRIA SALMA MAULIDIYAH</t>
  </si>
  <si>
    <t>Yuri</t>
  </si>
  <si>
    <t>85791904786</t>
  </si>
  <si>
    <t>IMAM HUNDORI</t>
  </si>
  <si>
    <r>
      <rPr>
        <rFont val="Calibri, sans-serif"/>
        <color rgb="FF1155CC"/>
        <sz val="11.0"/>
        <u/>
      </rPr>
      <t>https://firebasestorage.googleapis.com/v0/b/e-santren.appspot.com/o/fotoSantri%2FJESIKA%20NIRMALA%20AGUSTINA%20_vyKN1OQPtEfZ7fTeAzY66E28vM22?alt=media&amp;token=2a399f87-e5bf-41b0-a268-58161bcdf1f2</t>
    </r>
  </si>
  <si>
    <t>18-08-2004</t>
  </si>
  <si>
    <t>JESIKA NIRMALA AGUSTINA</t>
  </si>
  <si>
    <t>JESIKA</t>
  </si>
  <si>
    <t>Dsn. Tambar Ds. Sidokumpul Kec. Sambeng Kab. Lamongan Prov. JawaTimur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</si>
  <si>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</si>
  <si>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Dsn Terong Malang Ds Simbaringin Kec Kutorejo Kab Mojokerto Prov Jawa Timur</t>
  </si>
  <si>
    <t>81615526164</t>
  </si>
  <si>
    <t>Midah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</si>
  <si>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</si>
  <si>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FIK</t>
  </si>
  <si>
    <t>15-04-2000</t>
  </si>
  <si>
    <t>Ayu Andira</t>
  </si>
  <si>
    <t>Ayu</t>
  </si>
  <si>
    <t>85784541496</t>
  </si>
  <si>
    <t>Sahrin</t>
  </si>
  <si>
    <r>
      <rPr>
        <rFont val="Calibri, sans-serif"/>
        <color rgb="FF1155CC"/>
        <sz val="11.0"/>
        <u/>
      </rPr>
      <t>https://firebasestorage.googleapis.com/v0/b/e-santren.appspot.com/o/fotoSantri%2FAlivia%20Nur%20Fatikhasari%20_xwr0YXXNJPeyg67ASY8GFRApUdy1?alt=media&amp;token=53fd5474-6ddc-4971-8338-592f21a62542</t>
    </r>
  </si>
  <si>
    <t>pendidikan agama Islam</t>
  </si>
  <si>
    <t>29-06-2003</t>
  </si>
  <si>
    <t>Alivia Nur Fatikhasari</t>
  </si>
  <si>
    <t>alivia</t>
  </si>
  <si>
    <t>Dsn. Sidowangun Ds. Kedungsari Kec. Kemlagi Kab. Mojokerto</t>
  </si>
  <si>
    <t>81390470125</t>
  </si>
  <si>
    <t>Tarwiyat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</si>
  <si>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</si>
  <si>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03-06-2003</t>
  </si>
  <si>
    <t>Itsna Faidatur Rohmah</t>
  </si>
  <si>
    <t>Itsna</t>
  </si>
  <si>
    <t>Magelang Jawa Tengah</t>
  </si>
  <si>
    <t>Ngargosari Ngargogondo Borobudur Magelang Jawa Tengah</t>
  </si>
  <si>
    <t>85874008688</t>
  </si>
  <si>
    <t>Ponidi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</si>
  <si>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</si>
  <si>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05-05-2004</t>
  </si>
  <si>
    <t>Rana Vonilia Nabila</t>
  </si>
  <si>
    <t>Rana</t>
  </si>
  <si>
    <t>Palembang, Sumatra Selatan</t>
  </si>
  <si>
    <t>82131524470</t>
  </si>
  <si>
    <t>Daman Huri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</si>
  <si>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</si>
  <si>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Fina Aniqotuzzulfa</t>
  </si>
  <si>
    <t>Fina</t>
  </si>
  <si>
    <t>Demak Jawa Tengah</t>
  </si>
  <si>
    <t>Ds. Weding Kec. Bonang Kab. Demak Provinsi Jawa Tengah</t>
  </si>
  <si>
    <t>81277391582</t>
  </si>
  <si>
    <t>Maryono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</si>
  <si>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</si>
  <si>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S1 Hukum Keluarga</t>
  </si>
  <si>
    <t>18-01-2004</t>
  </si>
  <si>
    <t>Fadhilla Cahya Nugrahi</t>
  </si>
  <si>
    <t>Fadhil</t>
  </si>
  <si>
    <t>Riau Sumatra</t>
  </si>
  <si>
    <t>ds. sungai buluh kec. singingi hilir. kab kuansing Riau Sumatra</t>
  </si>
  <si>
    <t>87753701020</t>
  </si>
  <si>
    <t>Bambang sumantri</t>
  </si>
  <si>
    <r>
      <rPr>
        <rFont val="Calibri, sans-serif"/>
        <color rgb="FF1155CC"/>
        <sz val="11.0"/>
        <u/>
      </rPr>
      <t>https://firebasestorage.googleapis.com/v0/b/e-santren.appspot.com/o/fotoSantri%2FNur%20aulia%20shofa_zizkzVZrmDdzegnOdXsJ48rVeSf2?alt=media&amp;token=ff600759-6ff7-4fcf-829f-17e23604eeb3</t>
    </r>
  </si>
  <si>
    <t>01-03-2003</t>
  </si>
  <si>
    <t>Nur aulia shofa</t>
  </si>
  <si>
    <t>Lia</t>
  </si>
  <si>
    <t>Sumbergirang jamberejo kedungadem bojonegoro</t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</si>
  <si>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</si>
  <si>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t>85230381563_1</t>
  </si>
  <si>
    <r>
      <rPr>
        <rFont val="Calibri, sans-serif"/>
        <color rgb="FF1155CC"/>
        <sz val="11.0"/>
        <u/>
      </rPr>
      <t>https://firebasestorage.googleapis.com/v0/b/e-santren.appspot.com/o/fotoSantri%2FNailil%20Muna%20Wirda%20_0NGxPEte7FWm6rvCoHN3xGycwDF3?alt=media&amp;token=f81ae45d-789e-4202-a298-2ff701eade32</t>
    </r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</si>
  <si>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</si>
  <si>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r>
      <rPr>
        <rFont val="Calibri, sans-serif"/>
        <color rgb="FF1155CC"/>
        <sz val="11.0"/>
        <u/>
      </rPr>
      <t>https://firebasestorage.googleapis.com/v0/b/e-santren.appspot.com/o/fotoSantri%2Fdefault_chosyiah.png?alt=media&amp;token=09d56187-00e8-4dee-b2c6-edbc954d88e6</t>
    </r>
  </si>
  <si>
    <r>
      <rPr>
        <rFont val="Calibri, sans-serif"/>
        <color rgb="FF1155CC"/>
        <sz val="11.0"/>
        <u/>
      </rPr>
      <t>https://firebasestorage.googleapis.com/v0/b/e-santren.appspot.com/o/fotoSantri%2FAnna%20Rahmawati%20_1Ik1qjiA6rQxYI7KEI5QzH0V2TA3?alt=media&amp;token=b25d2a84-7f21-4edc-93cf-3e518870891b</t>
    </r>
  </si>
  <si>
    <t>antecedents</t>
  </si>
  <si>
    <t>consequents</t>
  </si>
  <si>
    <t>support</t>
  </si>
  <si>
    <t>antecedent support</t>
  </si>
  <si>
    <t>consequent support</t>
  </si>
  <si>
    <t>confidence</t>
  </si>
  <si>
    <t>lift</t>
  </si>
  <si>
    <t>leverage</t>
  </si>
  <si>
    <t>conviction</t>
  </si>
  <si>
    <t>certainty</t>
  </si>
  <si>
    <t>adjusted_support</t>
  </si>
  <si>
    <t>adjusted_antecedent_support</t>
  </si>
  <si>
    <t>adjusted_consequent_support</t>
  </si>
  <si>
    <t>adjusted_confidence</t>
  </si>
  <si>
    <t>adjusted_lift</t>
  </si>
  <si>
    <t>adjusted_leverage</t>
  </si>
  <si>
    <t>adjusted_conviction</t>
  </si>
  <si>
    <t>adjusted_certainty</t>
  </si>
  <si>
    <t>frozenset({'ayam goreng'})</t>
  </si>
  <si>
    <t>frozenset({'nasi putih'})</t>
  </si>
  <si>
    <t>frozenset({'mie'})</t>
  </si>
  <si>
    <t>frozenset({'nasi goreng'})</t>
  </si>
  <si>
    <t>frozenset({'teh'})</t>
  </si>
  <si>
    <t>frozenset({'soto ayam'})</t>
  </si>
  <si>
    <t>frozenset({'air putih', 'nasi putih'})</t>
  </si>
  <si>
    <t>frozenset({'teh', 'ayam goreng'})</t>
  </si>
  <si>
    <t>frozenset({'kerupuk', 'cireng isi'})</t>
  </si>
  <si>
    <t>frozenset({'gorengan'})</t>
  </si>
  <si>
    <t>frozenset({'sayur harian', 'cireng isi'})</t>
  </si>
  <si>
    <t>frozenset({'nasi putih', 'cireng isi'})</t>
  </si>
  <si>
    <t>frozenset({'mie', 'cireng isi'})</t>
  </si>
  <si>
    <t>frozenset({'nasi goreng', 'cireng isi'})</t>
  </si>
  <si>
    <t>frozenset({'sosis goreng', 'cireng isi'})</t>
  </si>
  <si>
    <t>frozenset({'kerupuk', 'es jeruk'})</t>
  </si>
  <si>
    <t>frozenset({'penyetan'})</t>
  </si>
  <si>
    <t>frozenset({'es jeruk', 'nasi putih'})</t>
  </si>
  <si>
    <t>frozenset({'es jeruk', 'nasi goreng'})</t>
  </si>
  <si>
    <t>frozenset({'float', 'nasi putih'})</t>
  </si>
  <si>
    <t>frozenset({'french fries', 'nasi putih'})</t>
  </si>
  <si>
    <t>frozenset({'french fries', 'mie'})</t>
  </si>
  <si>
    <t>frozenset({'french fries', 'penyetan'})</t>
  </si>
  <si>
    <t>frozenset({'french fries', 'risol mayo'})</t>
  </si>
  <si>
    <t>frozenset({'tahu krispy'})</t>
  </si>
  <si>
    <t>frozenset({'risol mayo', 'tahu krispy'})</t>
  </si>
  <si>
    <t>frozenset({'french fries'})</t>
  </si>
  <si>
    <t>frozenset({'french fries', 'sayur harian'})</t>
  </si>
  <si>
    <t>frozenset({'french fries', 'sosis goreng'})</t>
  </si>
  <si>
    <t>frozenset({'nasi putih', 'gorengan'})</t>
  </si>
  <si>
    <t>frozenset({'mie', 'gorengan'})</t>
  </si>
  <si>
    <t>frozenset({'nasi goreng', 'gorengan'})</t>
  </si>
  <si>
    <t>frozenset({'tahu krispy', 'gorengan'})</t>
  </si>
  <si>
    <t>frozenset({'kerupuk', 'teh'})</t>
  </si>
  <si>
    <t>frozenset({'nasi putih', 'nasi goreng'})</t>
  </si>
  <si>
    <t>frozenset({'mie', 'nasi goreng'})</t>
  </si>
  <si>
    <t>frozenset({'penyetan', 'nasi putih'})</t>
  </si>
  <si>
    <t>frozenset({'sosis goreng', 'nasi putih'})</t>
  </si>
  <si>
    <t>frozenset({'tahu krispy', 'nasi putih'})</t>
  </si>
  <si>
    <t>frozenset({'teh', 'nasi putih'})</t>
  </si>
  <si>
    <t>frozenset({'mie', 'nasi putih'})</t>
  </si>
  <si>
    <t>frozenset({'mie', 'telur'})</t>
  </si>
  <si>
    <t>frozenset({'penyetan', 'mie'})</t>
  </si>
  <si>
    <t>frozenset({'sayur harian', 'mie'})</t>
  </si>
  <si>
    <t>frozenset({'sosis goreng', 'mie'})</t>
  </si>
  <si>
    <t>frozenset({'mie', 'tahu krispy'})</t>
  </si>
  <si>
    <t>frozenset({'nasi goreng', 'nasi putih'})</t>
  </si>
  <si>
    <t>frozenset({'penyetan', 'nasi goreng'})</t>
  </si>
  <si>
    <t>frozenset({'nasi goreng', 'tahu krispy'})</t>
  </si>
  <si>
    <t>frozenset({'teh', 'telur'})</t>
  </si>
  <si>
    <t>frozenset({'sayur harian', 'pisang coklat keju'})</t>
  </si>
  <si>
    <t>frozenset({'penyetan', 'pisang coklat keju'})</t>
  </si>
  <si>
    <t>frozenset({'penyetan', 'sosis goreng'})</t>
  </si>
  <si>
    <t>frozenset({'penyetan', 'tahu krispy'})</t>
  </si>
  <si>
    <t>frozenset({'tahu krispy', 'pisang coklat keju'})</t>
  </si>
  <si>
    <t>frozenset({'sayur harian', 'tahu krispy'})</t>
  </si>
  <si>
    <t>frozenset({'air putih', 'es jeruk', 'gorengan'})</t>
  </si>
  <si>
    <t>frozenset({'air putih', 'es jeruk', 'penyetan'})</t>
  </si>
  <si>
    <t>frozenset({'air putih', 'es jeruk', 'teh'})</t>
  </si>
  <si>
    <t>frozenset({'air putih', 'mie', 'gorengan'})</t>
  </si>
  <si>
    <t>frozenset({'air putih', 'penyetan', 'sayur harian'})</t>
  </si>
  <si>
    <t>frozenset({'air putih', 'teh', 'sayur harian'})</t>
  </si>
  <si>
    <t>frozenset({'air putih', 'sayur harian', 'gorengan'})</t>
  </si>
  <si>
    <t>frozenset({'air putih', 'penyetan', 'mie'})</t>
  </si>
  <si>
    <t>frozenset({'es jeruk', 'mie', 'cireng isi'})</t>
  </si>
  <si>
    <t>frozenset({'penyetan', 'es jeruk', 'cireng isi'})</t>
  </si>
  <si>
    <t>frozenset({'teh', 'es jeruk', 'cireng isi'})</t>
  </si>
  <si>
    <t>frozenset({'es jeruk', 'cireng isi', 'penyetan'})</t>
  </si>
  <si>
    <t>frozenset({'mie', 'nasi putih', 'cireng isi'})</t>
  </si>
  <si>
    <t>frozenset({'nasi putih', 'gorengan', 'cireng isi'})</t>
  </si>
  <si>
    <t>frozenset({'mie', 'gorengan', 'cireng isi'})</t>
  </si>
  <si>
    <t>frozenset({'penyetan', 'sayur harian', 'cireng isi'})</t>
  </si>
  <si>
    <t>frozenset({'teh', 'pisang coklat keju', 'cireng isi'})</t>
  </si>
  <si>
    <t>frozenset({'gorengan', 'pisang coklat keju', 'cireng isi'})</t>
  </si>
  <si>
    <t>frozenset({'teh', 'sosis goreng', 'cireng isi'})</t>
  </si>
  <si>
    <t>frozenset({'sosis goreng', 'gorengan', 'cireng isi'})</t>
  </si>
  <si>
    <t>frozenset({'tahu krispy', 'gorengan', 'cireng isi'})</t>
  </si>
  <si>
    <t>frozenset({'teh', 'nasi putih', 'cireng isi'})</t>
  </si>
  <si>
    <t>frozenset({'teh', 'mie'})</t>
  </si>
  <si>
    <t>frozenset({'penyetan', 'mie', 'cireng isi'})</t>
  </si>
  <si>
    <t>frozenset({'penyetan', 'tahu krispy', 'cireng isi'})</t>
  </si>
  <si>
    <t>frozenset({'french fries', 'es jeruk', 'penyetan'})</t>
  </si>
  <si>
    <t>frozenset({'es jeruk', 'sayur harian', 'gorengan'})</t>
  </si>
  <si>
    <t>frozenset({'teh', 'kopi', 'es jeruk'})</t>
  </si>
  <si>
    <t>frozenset({'es jeruk', 'kopi', 'penyetan'})</t>
  </si>
  <si>
    <t>frozenset({'es jeruk', 'mie', 'penyetan'})</t>
  </si>
  <si>
    <t>frozenset({'teh', 'sayur harian', 'es jeruk'})</t>
  </si>
  <si>
    <t>frozenset({'teh', 'sosis goreng', 'es jeruk'})</t>
  </si>
  <si>
    <t>frozenset({'es jeruk', 'sosis goreng', 'penyetan'})</t>
  </si>
  <si>
    <t>frozenset({'penyetan', 'float', 'nasi putih'})</t>
  </si>
  <si>
    <t>frozenset({'teh', 'float', 'nasi putih'})</t>
  </si>
  <si>
    <t>frozenset({'french fries', 'penyetan', 'mie'})</t>
  </si>
  <si>
    <t>frozenset({'french fries', 'penyetan', 'tahu krispy'})</t>
  </si>
  <si>
    <t>frozenset({'kerupuk', 'teh', 'gorengan'})</t>
  </si>
  <si>
    <t>frozenset({'kerupuk', 'penyetan', 'gorengan'})</t>
  </si>
  <si>
    <t>frozenset({'kopi', 'tahu krispy', 'gorengan'})</t>
  </si>
  <si>
    <t>frozenset({'mie', 'teh', 'nasi goreng'})</t>
  </si>
  <si>
    <t>frozenset({'teh', 'nasi goreng', 'gorengan'})</t>
  </si>
  <si>
    <t>frozenset({'mie', 'nasi goreng', 'gorengan'})</t>
  </si>
  <si>
    <t>frozenset({'penyetan', 'nasi putih', 'gorengan'})</t>
  </si>
  <si>
    <t>frozenset({'teh', 'nasi putih', 'gorengan'})</t>
  </si>
  <si>
    <t>frozenset({'penyetan', 'mie', 'gorengan'})</t>
  </si>
  <si>
    <t>frozenset({'gorengan', 'mie', 'pisang coklat keju'})</t>
  </si>
  <si>
    <t>frozenset({'mie', 'tahu krispy', 'gorengan'})</t>
  </si>
  <si>
    <t>frozenset({'penyetan', 'gorengan', 'pisang coklat keju'})</t>
  </si>
  <si>
    <t>frozenset({'penyetan', 'sosis goreng', 'gorengan'})</t>
  </si>
  <si>
    <t>frozenset({'penyetan', 'tahu krispy', 'gorengan'})</t>
  </si>
  <si>
    <t>frozenset({'penyetan', 'kopi', 'mie'})</t>
  </si>
  <si>
    <t>frozenset({'penyetan', 'kopi', 'tahu krispy'})</t>
  </si>
  <si>
    <t>frozenset({'teh', 'nasi putih', 'penyetan'})</t>
  </si>
  <si>
    <t>frozenset({'mie', 'penyetan', 'nasi putih'})</t>
  </si>
  <si>
    <t>frozenset({'teh', 'tahu krispy', 'nasi putih'})</t>
  </si>
  <si>
    <t>frozenset({'mie', 'tahu krispy', 'nasi putih'})</t>
  </si>
  <si>
    <t>frozenset({'penyetan', 'mie', 'pisang coklat keju'})</t>
  </si>
  <si>
    <t>frozenset({'penyetan', 'sosis goreng', 'mie'})</t>
  </si>
  <si>
    <t>frozenset({'mie', 'penyetan', 'tahu krispy'})</t>
  </si>
  <si>
    <t>frozenset({'teh', 'sosis goreng', 'tahu krispy'})</t>
  </si>
  <si>
    <t>frozenset({'penyetan', 'sosis goreng', 'tahu krispy'})</t>
  </si>
  <si>
    <t>frozenset({'penyetan', 'mie', 'gorengan', 'cireng isi'})</t>
  </si>
  <si>
    <t>Adella Eka Dista Oktafiani</t>
  </si>
  <si>
    <t>Lunas</t>
  </si>
  <si>
    <t>Rp 750.000</t>
  </si>
  <si>
    <t>Lihat Riwayat</t>
  </si>
  <si>
    <t>Datin Febiola</t>
  </si>
  <si>
    <t>Felandria Aisyawa Sundowo</t>
  </si>
  <si>
    <t>Haqiqatul Aqilah</t>
  </si>
  <si>
    <t>Iis Oktavia</t>
  </si>
  <si>
    <t>Indah Nur Aini</t>
  </si>
  <si>
    <t>Jesika Nirmala Agustina</t>
  </si>
  <si>
    <t>Maisunnisa' Sulistin</t>
  </si>
  <si>
    <t>Nayla Nur Fauziah</t>
  </si>
  <si>
    <t>Nor Laili</t>
  </si>
  <si>
    <t>Sofiya Daniyatus Sa'adah</t>
  </si>
  <si>
    <t>‪+628813753647‬</t>
  </si>
  <si>
    <t>Tri Wulandari</t>
  </si>
  <si>
    <t>Uswatun Hasanah</t>
  </si>
  <si>
    <t>Zakiyatul Fahera</t>
  </si>
  <si>
    <t>Zhuhria Salma Maulidiyah</t>
  </si>
  <si>
    <t>204 C</t>
  </si>
  <si>
    <t>Edit</t>
  </si>
  <si>
    <t>204 A</t>
  </si>
  <si>
    <t>202 C</t>
  </si>
  <si>
    <t>Belum Lunas</t>
  </si>
  <si>
    <t>Alpii Nihayatus Sa'adah</t>
  </si>
  <si>
    <t>104 B</t>
  </si>
  <si>
    <t>205 C</t>
  </si>
  <si>
    <t>Anisatul Umronah</t>
  </si>
  <si>
    <t>206 D</t>
  </si>
  <si>
    <t>207 A</t>
  </si>
  <si>
    <t>201 A</t>
  </si>
  <si>
    <t>207 C</t>
  </si>
  <si>
    <t>101 C</t>
  </si>
  <si>
    <t>Diah Ayu Titis</t>
  </si>
  <si>
    <t>208 C</t>
  </si>
  <si>
    <t>Farikhatun Nisa'</t>
  </si>
  <si>
    <t>208 A</t>
  </si>
  <si>
    <t>205 B</t>
  </si>
  <si>
    <t>Fitri Lestari</t>
  </si>
  <si>
    <t>Semester 1</t>
  </si>
  <si>
    <t>204 D</t>
  </si>
  <si>
    <t>203 C</t>
  </si>
  <si>
    <t>208 D</t>
  </si>
  <si>
    <t>206 C</t>
  </si>
  <si>
    <t>208 B</t>
  </si>
  <si>
    <t>205 A</t>
  </si>
  <si>
    <t>205 D</t>
  </si>
  <si>
    <t>202 B</t>
  </si>
  <si>
    <t>202 A</t>
  </si>
  <si>
    <t>Maulaya Anjani</t>
  </si>
  <si>
    <t>206 A</t>
  </si>
  <si>
    <t>202 D</t>
  </si>
  <si>
    <t>203 B</t>
  </si>
  <si>
    <t>207 D</t>
  </si>
  <si>
    <t>101 A</t>
  </si>
  <si>
    <t>Nur Aulia Shofa</t>
  </si>
  <si>
    <t>204 B</t>
  </si>
  <si>
    <t>201 B</t>
  </si>
  <si>
    <t>201 D</t>
  </si>
  <si>
    <t>207 B</t>
  </si>
  <si>
    <t>203 A</t>
  </si>
  <si>
    <t>Siti Al Muzaroh</t>
  </si>
  <si>
    <t>201 C</t>
  </si>
  <si>
    <t>Siti Rohana</t>
  </si>
  <si>
    <t>206 B</t>
  </si>
  <si>
    <t>203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</si>
</sst>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u/>
      <color rgb="FF1155CC"/>
    </font>
    <font>
      <sz val="11.0"/>
      <color theme="1"/>
      <name val="Calibri"/>
    </font>
    <font>
      <u/>
      <sz val="11.0"/>
      <color rgb="FF1155CC"/>
      <name val="Calibri"/>
    </font>
    <font>
      <b/>
      <color rgb="FF000000"/>
      <name val="Helvetica Neue"/>
    </font>
    <font>
      <color rgb="FF000000"/>
      <name val="Helvetica Neue"/>
    </font>
    <font>
      <color rgb="FF111827"/>
      <name val="Nunito"/>
    </font>
    <font>
      <color rgb="FF166534"/>
      <name val="Nunito"/>
    </font>
    <font>
      <color rgb="FF6B7280"/>
      <name val="Nunito"/>
    </font>
    <font>
      <color rgb="FF1E40AF"/>
      <name val="Inherit"/>
    </font>
    <font>
      <sz val="11.0"/>
      <color rgb="FF2563EB"/>
      <name val="Inherit"/>
    </font>
    <font>
      <color rgb="FF1F2937"/>
      <name val="Nunito"/>
    </font>
  </fonts>
  <fills count="9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DBEAFE"/>
        <bgColor rgb="FFDBEAFE"/>
      </patternFill>
    </fill>
    <fill>
      <patternFill patternType="solid">
        <fgColor rgb="FFF9FAFB"/>
        <bgColor rgb="FFF9FAFB"/>
      </patternFill>
    </fill>
    <fill>
      <patternFill patternType="solid">
        <fgColor rgb="FFF3F4F6"/>
        <bgColor rgb="FFF3F4F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E5E7EB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1" fillId="2" fontId="2" numFmtId="0" xfId="0" applyAlignment="1" applyBorder="1" applyFill="1" applyFont="1">
      <alignment vertical="top"/>
    </xf>
    <xf borderId="1" fillId="2" fontId="8" numFmtId="0" xfId="0" applyAlignment="1" applyBorder="1" applyFont="1">
      <alignment readingOrder="0" vertical="top"/>
    </xf>
    <xf borderId="1" fillId="3" fontId="8" numFmtId="0" xfId="0" applyAlignment="1" applyBorder="1" applyFill="1" applyFont="1">
      <alignment readingOrder="0" vertical="top"/>
    </xf>
    <xf borderId="1" fillId="0" fontId="9" numFmtId="0" xfId="0" applyAlignment="1" applyBorder="1" applyFont="1">
      <alignment readingOrder="0" vertical="top"/>
    </xf>
    <xf borderId="1" fillId="0" fontId="9" numFmtId="11" xfId="0" applyAlignment="1" applyBorder="1" applyFont="1" applyNumberFormat="1">
      <alignment readingOrder="0" vertical="top"/>
    </xf>
    <xf borderId="3" fillId="4" fontId="10" numFmtId="0" xfId="0" applyAlignment="1" applyBorder="1" applyFill="1" applyFont="1">
      <alignment readingOrder="0" shrinkToFit="0" wrapText="0"/>
    </xf>
    <xf borderId="3" fillId="5" fontId="11" numFmtId="0" xfId="0" applyAlignment="1" applyBorder="1" applyFill="1" applyFont="1">
      <alignment readingOrder="0" shrinkToFit="0" wrapText="0"/>
    </xf>
    <xf borderId="3" fillId="4" fontId="12" numFmtId="0" xfId="0" applyAlignment="1" applyBorder="1" applyFont="1">
      <alignment readingOrder="0" shrinkToFit="0" wrapText="0"/>
    </xf>
    <xf borderId="3" fillId="4" fontId="12" numFmtId="0" xfId="0" applyAlignment="1" applyBorder="1" applyFont="1">
      <alignment shrinkToFit="0" wrapText="0"/>
    </xf>
    <xf borderId="3" fillId="6" fontId="13" numFmtId="0" xfId="0" applyAlignment="1" applyBorder="1" applyFill="1" applyFont="1">
      <alignment horizontal="right" readingOrder="0" shrinkToFit="0" wrapText="0"/>
    </xf>
    <xf borderId="3" fillId="7" fontId="10" numFmtId="0" xfId="0" applyAlignment="1" applyBorder="1" applyFill="1" applyFont="1">
      <alignment readingOrder="0" shrinkToFit="0" wrapText="0"/>
    </xf>
    <xf borderId="3" fillId="7" fontId="12" numFmtId="0" xfId="0" applyAlignment="1" applyBorder="1" applyFont="1">
      <alignment readingOrder="0" shrinkToFit="0" wrapText="0"/>
    </xf>
    <xf borderId="3" fillId="7" fontId="12" numFmtId="0" xfId="0" applyAlignment="1" applyBorder="1" applyFont="1">
      <alignment shrinkToFit="0" wrapText="0"/>
    </xf>
    <xf borderId="3" fillId="0" fontId="14" numFmtId="0" xfId="0" applyAlignment="1" applyBorder="1" applyFont="1">
      <alignment readingOrder="0" shrinkToFit="0" wrapText="0"/>
    </xf>
    <xf borderId="3" fillId="8" fontId="15" numFmtId="0" xfId="0" applyAlignment="1" applyBorder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irebasestorage.googleapis.com/v0/b/e-santren.appspot.com/o/fotoSantri%2FSiti%20munawaroh_ORYvJzxGT4gaNqcm0NyRX4PHtbg2?alt=media&amp;token=d09e86fd-5277-45d7-91b3-a4ef7613ce3c" TargetMode="External"/><Relationship Id="rId84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83" Type="http://schemas.openxmlformats.org/officeDocument/2006/relationships/hyperlink" Target="https://firebasestorage.googleapis.com/v0/b/e-santren.appspot.com/o/fotoSantri%2FJESIKA%20NIRMALA%20AGUSTINA%20_vyKN1OQPtEfZ7fTeAzY66E28vM22?alt=media&amp;token=2a399f87-e5bf-41b0-a268-58161bcdf1f2" TargetMode="External"/><Relationship Id="rId42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86" Type="http://schemas.openxmlformats.org/officeDocument/2006/relationships/hyperlink" Target="https://firebasestorage.googleapis.com/v0/b/e-santren.appspot.com/o/fotoSantri%2FAlivia%20Nur%20Fatikhasari%20_xwr0YXXNJPeyg67ASY8GFRApUdy1?alt=media&amp;token=53fd5474-6ddc-4971-8338-592f21a62542" TargetMode="External"/><Relationship Id="rId41" Type="http://schemas.openxmlformats.org/officeDocument/2006/relationships/hyperlink" Target="https://firebasestorage.googleapis.com/v0/b/e-santren.appspot.com/o/fotoSantri%2FDiah%20ayu%20titis_OYPS4cIRPrakN3thbtYugiTLRaV2?alt=media&amp;token=b2472e59-f097-4127-8f14-cfa4c5233c8b" TargetMode="External"/><Relationship Id="rId85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44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88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43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87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46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45" Type="http://schemas.openxmlformats.org/officeDocument/2006/relationships/hyperlink" Target="https://firebasestorage.googleapis.com/v0/b/e-santren.appspot.com/o/fotoSantri%2FUmmatil%20Khairiyah%20_UfCeGm0H7De3AALMEIPiaC9bNpz1?alt=media&amp;token=f58757dc-e76a-4260-a233-a3c398acb280" TargetMode="External"/><Relationship Id="rId89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80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82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81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1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2" Type="http://schemas.openxmlformats.org/officeDocument/2006/relationships/hyperlink" Target="https://firebasestorage.googleapis.com/v0/b/e-santren.appspot.com/o/fotoSantri%2FNailil%20Muna%20Wirda%20_0NGxPEte7FWm6rvCoHN3xGycwDF3?alt=media&amp;token=f81ae45d-789e-4202-a298-2ff701eade32" TargetMode="External"/><Relationship Id="rId3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4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9" Type="http://schemas.openxmlformats.org/officeDocument/2006/relationships/hyperlink" Target="https://firebasestorage.googleapis.com/v0/b/e-santren.appspot.com/o/fotoSantri%2FDeswaratri%20Zyca%20Alverina_3gdMv3xd6NfB9qRF8Yk44XD9wg82?alt=media&amp;token=86e8c8c2-80d7-4b82-97fc-20bb3706fe3d" TargetMode="External"/><Relationship Id="rId48" Type="http://schemas.openxmlformats.org/officeDocument/2006/relationships/hyperlink" Target="https://firebasestorage.googleapis.com/v0/b/e-santren.appspot.com/o/fotoSantri%2FIndah%20nur%20aini_WvZD7jk6PhMX7rkpXo2T4tjzT1J2?alt=media&amp;token=fa7b968e-de1f-4fed-af7d-2d297e7cd15c" TargetMode="External"/><Relationship Id="rId47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49" Type="http://schemas.openxmlformats.org/officeDocument/2006/relationships/hyperlink" Target="https://firebasestorage.googleapis.com/v0/b/e-santren.appspot.com/o/fotoSantri%2FALPII%20NIHAYATUS%20SA'ADAH_XrSufwz9WSPwR7V2GSypp2VJl0F2?alt=media&amp;token=cd49f2d7-e2d1-432b-9ea0-f2882568a106" TargetMode="External"/><Relationship Id="rId5" Type="http://schemas.openxmlformats.org/officeDocument/2006/relationships/hyperlink" Target="https://firebasestorage.googleapis.com/v0/b/e-santren.appspot.com/o/fotoSantri%2FAnna%20Rahmawati%20_1Ik1qjiA6rQxYI7KEI5QzH0V2TA3?alt=media&amp;token=b25d2a84-7f21-4edc-93cf-3e518870891b" TargetMode="External"/><Relationship Id="rId6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7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8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73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72" Type="http://schemas.openxmlformats.org/officeDocument/2006/relationships/hyperlink" Target="https://firebasestorage.googleapis.com/v0/b/e-santren.appspot.com/o/fotoSantri%2FSiti%20Fatimah%20Indah%20Pratama%20_pU2ZmFVK97hhrwaOLJFEg6y3l7k1?alt=media&amp;token=1d3f8edd-660a-4266-8e6b-8eaeef75a84c" TargetMode="External"/><Relationship Id="rId31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75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30" Type="http://schemas.openxmlformats.org/officeDocument/2006/relationships/hyperlink" Target="https://firebasestorage.googleapis.com/v0/b/e-santren.appspot.com/o/fotoSantri%2Fmaulaya%20anjani%20_JEtUpxjGTlSQP7efFhhBJyrkYWw1?alt=media&amp;token=a96a5cd0-2743-4e39-9f88-86d1056b3076" TargetMode="External"/><Relationship Id="rId74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33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77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32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76" Type="http://schemas.openxmlformats.org/officeDocument/2006/relationships/hyperlink" Target="https://firebasestorage.googleapis.com/v0/b/e-santren.appspot.com/o/fotoSantri%2FLembah%20Ayu%20Sukma%20Dewi_r23cE2zTaxM7lsH7DbnRxG5i5EJ3?alt=media&amp;token=a22d4f63-22fa-45a6-9efe-7191a785f410" TargetMode="External"/><Relationship Id="rId35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79" Type="http://schemas.openxmlformats.org/officeDocument/2006/relationships/hyperlink" Target="https://firebasestorage.googleapis.com/v0/b/e-santren.appspot.com/o/fotoSantri%2FHidayatul%20Malika_uaCROHm2tSa5NyYZxaxN8KprlIV2?alt=media&amp;token=61c59889-d49a-457e-9c2a-8aa91afa7871" TargetMode="External"/><Relationship Id="rId34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78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71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70" Type="http://schemas.openxmlformats.org/officeDocument/2006/relationships/hyperlink" Target="https://firebasestorage.googleapis.com/v0/b/e-santren.appspot.com/o/fotoSantri%2FDatin%20febiola%20_oxJ2na8QXKP69t2PWWxxs94II1b2?alt=media&amp;token=5bcdb76e-64fd-4030-8cfc-82cb5a318dc1" TargetMode="External"/><Relationship Id="rId37" Type="http://schemas.openxmlformats.org/officeDocument/2006/relationships/hyperlink" Target="https://firebasestorage.googleapis.com/v0/b/e-santren.appspot.com/o/fotoSantri%2FWafiyah%20Nurus%20Salamah_Mx0uZSX9XjgevBOjnQnsAxBJ7pz2?alt=media&amp;token=8c7cbb80-6162-460e-bb49-19f25e2cfa49" TargetMode="External"/><Relationship Id="rId36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39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38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62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61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20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64" Type="http://schemas.openxmlformats.org/officeDocument/2006/relationships/hyperlink" Target="https://firebasestorage.googleapis.com/v0/b/e-santren.appspot.com/o/fotoSantri%2FKartika%20Maharani%20_jPb9rERSomdzrV0X8S12z3gNHGT2?alt=media&amp;token=69195537-aae4-41d6-8150-d5fbd14b2502" TargetMode="External"/><Relationship Id="rId63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22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66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21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65" Type="http://schemas.openxmlformats.org/officeDocument/2006/relationships/hyperlink" Target="https://firebasestorage.googleapis.com/v0/b/e-santren.appspot.com/o/fotoSantri%2FLailatul%20Nur%20Aifa%20Rahmawati_kZXr2bl4zMafKIduRVsPeYY7Rx62?alt=media&amp;token=a92cf9c5-7830-4186-a103-c043475e6c30" TargetMode="External"/><Relationship Id="rId24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68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23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67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60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26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25" Type="http://schemas.openxmlformats.org/officeDocument/2006/relationships/hyperlink" Target="https://firebasestorage.googleapis.com/v0/b/e-santren.appspot.com/o/fotoSantri%2FIndah%20Irmawati%20_DlqvCfPXABUCNSYi8BCiSNjqLt13?alt=media&amp;token=0623594f-fc57-4d56-99a9-4c39f9e59c3e" TargetMode="External"/><Relationship Id="rId69" Type="http://schemas.openxmlformats.org/officeDocument/2006/relationships/hyperlink" Target="https://firebasestorage.googleapis.com/v0/b/e-santren.appspot.com/o/fotoSantri%2FUhti%20Amelia_omOeqO3rwWPmsIPUWDCw96TZO3e2?alt=media&amp;token=472cbb43-62b6-4ac9-bb9c-a7f6b84c3d55" TargetMode="External"/><Relationship Id="rId28" Type="http://schemas.openxmlformats.org/officeDocument/2006/relationships/hyperlink" Target="https://firebasestorage.googleapis.com/v0/b/e-santren.appspot.com/o/fotoSantri%2Ffarikhatun%20nisa'_HxQ6ra4niZg8BQkXQJJD4p5t2eU2?alt=media&amp;token=eaec5e46-dd90-4aca-8b30-345d5d67275e" TargetMode="External"/><Relationship Id="rId27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29" Type="http://schemas.openxmlformats.org/officeDocument/2006/relationships/hyperlink" Target="https://firebasestorage.googleapis.com/v0/b/e-santren.appspot.com/o/fotoSantri%2FZahwa%20Dini%20Rahmawati%20_IoMEzEwPbDhJHN8AcnKBB3o3pD93?alt=media&amp;token=390eb1d5-982d-4ec6-b2b8-ea763e3de21f" TargetMode="External"/><Relationship Id="rId51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50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53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52" Type="http://schemas.openxmlformats.org/officeDocument/2006/relationships/hyperlink" Target="https://firebasestorage.googleapis.com/v0/b/e-santren.appspot.com/o/fotoSantri%2FNuril%20Hikmatul%20Laili_ZlpAiEsO9UOrPlAN0HQgDnLGnVh1?alt=media&amp;token=0523fe13-7a12-474c-836a-090e9bcc5f75" TargetMode="External"/><Relationship Id="rId11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55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10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54" Type="http://schemas.openxmlformats.org/officeDocument/2006/relationships/hyperlink" Target="https://firebasestorage.googleapis.com/v0/b/e-santren.appspot.com/o/fotoSantri%2FIsma%20Salsadila%20_aeuKUP5svwXR9HlvAppUKPMhuss1?alt=media&amp;token=e314d588-a295-4c27-851f-df9f6d8e3050" TargetMode="External"/><Relationship Id="rId13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57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12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56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91" Type="http://schemas.openxmlformats.org/officeDocument/2006/relationships/hyperlink" Target="https://firebasestorage.googleapis.com/v0/b/e-santren.appspot.com/o/fotoSantri%2FNur%20aulia%20shofa_zizkzVZrmDdzegnOdXsJ48rVeSf2?alt=media&amp;token=ff600759-6ff7-4fcf-829f-17e23604eeb3" TargetMode="External"/><Relationship Id="rId90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92" Type="http://schemas.openxmlformats.org/officeDocument/2006/relationships/drawing" Target="../drawings/drawing1.xml"/><Relationship Id="rId15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59" Type="http://schemas.openxmlformats.org/officeDocument/2006/relationships/hyperlink" Target="https://firebasestorage.googleapis.com/v0/b/e-santren.appspot.com/o/fotoSantri%2FSiti%20Alimatus%20Sahroh%20_dipyiNMWqNO9pPu9USJr6dCdUW73?alt=media&amp;token=2fd1c6a9-5c06-4ee5-88fc-9b5d6dd4afbf" TargetMode="External"/><Relationship Id="rId14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58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17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16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19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18" Type="http://schemas.openxmlformats.org/officeDocument/2006/relationships/hyperlink" Target="https://firebasestorage.googleapis.com/v0/b/e-santren.appspot.com/o/fotoSantri%2Fdefault_chosyiah.png?alt=media&amp;token=09d56187-00e8-4dee-b2c6-edbc954d88e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2" Type="http://schemas.openxmlformats.org/officeDocument/2006/relationships/hyperlink" Target="https://drive.google.com/file/d/1hRHRH0CHWEg0k97POczqBOSagALQVXPZ/view?usp=drivesdk" TargetMode="External"/><Relationship Id="rId3" Type="http://schemas.openxmlformats.org/officeDocument/2006/relationships/hyperlink" Target="https://firebasestorage.googleapis.com/v0/b/e-santren.appspot.com/o/fotoSantri%2FNailil%20Muna%20Wirda%20_0NGxPEte7FWm6rvCoHN3xGycwDF3?alt=media&amp;token=f81ae45d-789e-4202-a298-2ff701eade32" TargetMode="External"/><Relationship Id="rId4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5" Type="http://schemas.openxmlformats.org/officeDocument/2006/relationships/hyperlink" Target="https://firebasestorage.googleapis.com/v0/b/e-santren.appspot.com/o/fotoSantri%2Fdefault_chosyiah.png?alt=media&amp;token=09d56187-00e8-4dee-b2c6-edbc954d88e6" TargetMode="External"/><Relationship Id="rId6" Type="http://schemas.openxmlformats.org/officeDocument/2006/relationships/hyperlink" Target="https://firebasestorage.googleapis.com/v0/b/e-santren.appspot.com/o/fotoSantri%2FAnna%20Rahmawati%20_1Ik1qjiA6rQxYI7KEI5QzH0V2TA3?alt=media&amp;token=b25d2a84-7f21-4edc-93cf-3e518870891b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9" max="9" width="10.38"/>
    <col customWidth="1" min="18" max="18" width="13.75"/>
    <col customWidth="1" min="19" max="19" width="1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</row>
    <row r="2">
      <c r="A2" s="4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6" t="s">
        <v>24</v>
      </c>
      <c r="G2" s="5" t="s">
        <v>25</v>
      </c>
      <c r="H2" s="7" t="b">
        <v>1</v>
      </c>
      <c r="I2" s="8" t="s">
        <v>26</v>
      </c>
      <c r="J2" s="5" t="s">
        <v>27</v>
      </c>
      <c r="K2" s="5" t="s">
        <v>28</v>
      </c>
      <c r="L2" s="5" t="s">
        <v>29</v>
      </c>
      <c r="M2" s="7" t="b">
        <v>0</v>
      </c>
      <c r="N2" s="5" t="s">
        <v>30</v>
      </c>
      <c r="O2" s="9">
        <v>7.0</v>
      </c>
      <c r="P2" s="5" t="s">
        <v>31</v>
      </c>
      <c r="Q2" s="5" t="s">
        <v>32</v>
      </c>
      <c r="R2" s="3">
        <v>8.961255005E10</v>
      </c>
      <c r="S2" s="3" t="s">
        <v>33</v>
      </c>
    </row>
    <row r="3">
      <c r="A3" s="4" t="s">
        <v>34</v>
      </c>
      <c r="B3" s="5" t="s">
        <v>20</v>
      </c>
      <c r="C3" s="5" t="s">
        <v>21</v>
      </c>
      <c r="D3" s="5" t="s">
        <v>22</v>
      </c>
      <c r="E3" s="5" t="s">
        <v>35</v>
      </c>
      <c r="F3" s="6" t="s">
        <v>36</v>
      </c>
      <c r="G3" s="5" t="s">
        <v>37</v>
      </c>
      <c r="H3" s="7" t="b">
        <v>1</v>
      </c>
      <c r="I3" s="8" t="s">
        <v>38</v>
      </c>
      <c r="J3" s="5" t="s">
        <v>39</v>
      </c>
      <c r="K3" s="5" t="s">
        <v>40</v>
      </c>
      <c r="L3" s="5" t="s">
        <v>41</v>
      </c>
      <c r="M3" s="7" t="b">
        <v>0</v>
      </c>
      <c r="N3" s="5" t="s">
        <v>30</v>
      </c>
      <c r="O3" s="9">
        <v>1.0</v>
      </c>
      <c r="P3" s="5" t="s">
        <v>31</v>
      </c>
      <c r="Q3" s="5" t="s">
        <v>42</v>
      </c>
      <c r="R3" s="3">
        <v>8.1330317027E10</v>
      </c>
      <c r="S3" s="3" t="s">
        <v>33</v>
      </c>
    </row>
    <row r="4">
      <c r="A4" s="4" t="s">
        <v>43</v>
      </c>
      <c r="B4" s="5" t="s">
        <v>20</v>
      </c>
      <c r="C4" s="5" t="s">
        <v>21</v>
      </c>
      <c r="D4" s="5" t="s">
        <v>22</v>
      </c>
      <c r="E4" s="5" t="s">
        <v>44</v>
      </c>
      <c r="F4" s="6" t="s">
        <v>45</v>
      </c>
      <c r="G4" s="5" t="s">
        <v>46</v>
      </c>
      <c r="H4" s="7" t="b">
        <v>1</v>
      </c>
      <c r="I4" s="8" t="s">
        <v>47</v>
      </c>
      <c r="J4" s="5" t="s">
        <v>48</v>
      </c>
      <c r="K4" s="5" t="s">
        <v>49</v>
      </c>
      <c r="L4" s="5" t="s">
        <v>50</v>
      </c>
      <c r="M4" s="7" t="b">
        <v>0</v>
      </c>
      <c r="N4" s="5" t="s">
        <v>30</v>
      </c>
      <c r="O4" s="9">
        <v>5.0</v>
      </c>
      <c r="P4" s="5" t="s">
        <v>31</v>
      </c>
      <c r="Q4" s="5" t="s">
        <v>51</v>
      </c>
      <c r="R4" s="3">
        <v>8.95359667751E11</v>
      </c>
      <c r="S4" s="3" t="s">
        <v>33</v>
      </c>
    </row>
    <row r="5">
      <c r="A5" s="4" t="s">
        <v>52</v>
      </c>
      <c r="B5" s="5" t="s">
        <v>20</v>
      </c>
      <c r="C5" s="5" t="s">
        <v>21</v>
      </c>
      <c r="D5" s="5" t="s">
        <v>22</v>
      </c>
      <c r="E5" s="5" t="s">
        <v>53</v>
      </c>
      <c r="F5" s="6" t="s">
        <v>54</v>
      </c>
      <c r="G5" s="5" t="s">
        <v>55</v>
      </c>
      <c r="H5" s="7" t="b">
        <v>1</v>
      </c>
      <c r="I5" s="8" t="s">
        <v>56</v>
      </c>
      <c r="J5" s="5" t="s">
        <v>57</v>
      </c>
      <c r="K5" s="5" t="s">
        <v>58</v>
      </c>
      <c r="L5" s="5" t="s">
        <v>59</v>
      </c>
      <c r="M5" s="7" t="b">
        <v>0</v>
      </c>
      <c r="N5" s="5" t="s">
        <v>30</v>
      </c>
      <c r="O5" s="9">
        <v>5.0</v>
      </c>
      <c r="P5" s="5" t="s">
        <v>31</v>
      </c>
      <c r="Q5" s="5" t="s">
        <v>59</v>
      </c>
      <c r="S5" s="3" t="s">
        <v>33</v>
      </c>
    </row>
    <row r="6">
      <c r="A6" s="4" t="s">
        <v>60</v>
      </c>
      <c r="B6" s="5" t="s">
        <v>20</v>
      </c>
      <c r="C6" s="5" t="s">
        <v>61</v>
      </c>
      <c r="D6" s="5" t="s">
        <v>22</v>
      </c>
      <c r="E6" s="5" t="s">
        <v>62</v>
      </c>
      <c r="F6" s="6" t="s">
        <v>63</v>
      </c>
      <c r="G6" s="5" t="s">
        <v>37</v>
      </c>
      <c r="H6" s="7" t="b">
        <v>1</v>
      </c>
      <c r="I6" s="8" t="s">
        <v>64</v>
      </c>
      <c r="J6" s="5" t="s">
        <v>65</v>
      </c>
      <c r="K6" s="5" t="s">
        <v>66</v>
      </c>
      <c r="L6" s="5" t="s">
        <v>67</v>
      </c>
      <c r="M6" s="7" t="b">
        <v>0</v>
      </c>
      <c r="N6" s="5" t="s">
        <v>30</v>
      </c>
      <c r="O6" s="9">
        <v>9.0</v>
      </c>
      <c r="P6" s="5" t="s">
        <v>31</v>
      </c>
      <c r="Q6" s="5" t="s">
        <v>68</v>
      </c>
      <c r="S6" s="3" t="s">
        <v>33</v>
      </c>
    </row>
    <row r="7">
      <c r="A7" s="4" t="s">
        <v>69</v>
      </c>
      <c r="B7" s="5" t="s">
        <v>20</v>
      </c>
      <c r="C7" s="5" t="s">
        <v>61</v>
      </c>
      <c r="D7" s="5" t="s">
        <v>22</v>
      </c>
      <c r="E7" s="5" t="s">
        <v>70</v>
      </c>
      <c r="F7" s="6" t="s">
        <v>71</v>
      </c>
      <c r="G7" s="5" t="s">
        <v>72</v>
      </c>
      <c r="H7" s="7" t="b">
        <v>1</v>
      </c>
      <c r="I7" s="8" t="s">
        <v>73</v>
      </c>
      <c r="J7" s="5" t="s">
        <v>74</v>
      </c>
      <c r="K7" s="5" t="s">
        <v>75</v>
      </c>
      <c r="L7" s="5" t="s">
        <v>76</v>
      </c>
      <c r="M7" s="7" t="b">
        <v>0</v>
      </c>
      <c r="N7" s="5" t="s">
        <v>30</v>
      </c>
      <c r="O7" s="9">
        <v>9.0</v>
      </c>
      <c r="P7" s="5" t="s">
        <v>31</v>
      </c>
      <c r="Q7" s="5" t="s">
        <v>77</v>
      </c>
      <c r="R7" s="3">
        <v>8.2133161919E10</v>
      </c>
      <c r="S7" s="3" t="s">
        <v>33</v>
      </c>
    </row>
    <row r="8">
      <c r="A8" s="8" t="s">
        <v>78</v>
      </c>
      <c r="B8" s="5" t="s">
        <v>20</v>
      </c>
      <c r="C8" s="5" t="s">
        <v>21</v>
      </c>
      <c r="D8" s="5" t="s">
        <v>22</v>
      </c>
      <c r="E8" s="5" t="s">
        <v>79</v>
      </c>
      <c r="F8" s="6" t="s">
        <v>80</v>
      </c>
      <c r="G8" s="5" t="s">
        <v>81</v>
      </c>
      <c r="H8" s="7" t="b">
        <v>1</v>
      </c>
      <c r="I8" s="8" t="s">
        <v>82</v>
      </c>
      <c r="J8" s="5" t="s">
        <v>83</v>
      </c>
      <c r="K8" s="5" t="s">
        <v>84</v>
      </c>
      <c r="L8" s="5" t="s">
        <v>85</v>
      </c>
      <c r="M8" s="7" t="b">
        <v>0</v>
      </c>
      <c r="N8" s="5" t="s">
        <v>30</v>
      </c>
      <c r="O8" s="9">
        <v>1.0</v>
      </c>
      <c r="P8" s="5" t="s">
        <v>31</v>
      </c>
      <c r="Q8" s="5" t="s">
        <v>86</v>
      </c>
      <c r="R8" s="10">
        <f>+60149166030</f>
        <v>60149166030</v>
      </c>
      <c r="S8" s="3" t="s">
        <v>33</v>
      </c>
    </row>
    <row r="9">
      <c r="A9" s="4" t="s">
        <v>87</v>
      </c>
      <c r="B9" s="5" t="s">
        <v>20</v>
      </c>
      <c r="C9" s="5" t="s">
        <v>61</v>
      </c>
      <c r="D9" s="5" t="s">
        <v>22</v>
      </c>
      <c r="E9" s="5" t="s">
        <v>88</v>
      </c>
      <c r="F9" s="6" t="s">
        <v>89</v>
      </c>
      <c r="G9" s="5" t="s">
        <v>90</v>
      </c>
      <c r="H9" s="7" t="b">
        <v>1</v>
      </c>
      <c r="I9" s="8" t="s">
        <v>91</v>
      </c>
      <c r="J9" s="5" t="s">
        <v>92</v>
      </c>
      <c r="K9" s="5" t="s">
        <v>93</v>
      </c>
      <c r="L9" s="5" t="s">
        <v>94</v>
      </c>
      <c r="M9" s="7" t="b">
        <v>0</v>
      </c>
      <c r="N9" s="5" t="s">
        <v>30</v>
      </c>
      <c r="O9" s="9">
        <v>2.0</v>
      </c>
      <c r="P9" s="5" t="s">
        <v>31</v>
      </c>
      <c r="Q9" s="5" t="s">
        <v>95</v>
      </c>
      <c r="S9" s="3" t="s">
        <v>33</v>
      </c>
    </row>
    <row r="10">
      <c r="A10" s="4" t="s">
        <v>96</v>
      </c>
      <c r="B10" s="5" t="s">
        <v>20</v>
      </c>
      <c r="C10" s="5" t="s">
        <v>21</v>
      </c>
      <c r="D10" s="5" t="s">
        <v>22</v>
      </c>
      <c r="E10" s="5" t="s">
        <v>97</v>
      </c>
      <c r="F10" s="6" t="s">
        <v>98</v>
      </c>
      <c r="G10" s="5" t="s">
        <v>37</v>
      </c>
      <c r="H10" s="7" t="b">
        <v>1</v>
      </c>
      <c r="I10" s="8" t="s">
        <v>99</v>
      </c>
      <c r="J10" s="5" t="s">
        <v>100</v>
      </c>
      <c r="K10" s="5" t="s">
        <v>101</v>
      </c>
      <c r="L10" s="5" t="s">
        <v>102</v>
      </c>
      <c r="M10" s="7" t="b">
        <v>0</v>
      </c>
      <c r="N10" s="5" t="s">
        <v>30</v>
      </c>
      <c r="O10" s="9">
        <v>1.0</v>
      </c>
      <c r="P10" s="5" t="s">
        <v>31</v>
      </c>
      <c r="Q10" s="5" t="s">
        <v>103</v>
      </c>
      <c r="R10" s="3">
        <v>8.2132557345E10</v>
      </c>
      <c r="S10" s="3" t="s">
        <v>33</v>
      </c>
    </row>
    <row r="11">
      <c r="A11" s="4" t="s">
        <v>104</v>
      </c>
      <c r="B11" s="5" t="s">
        <v>20</v>
      </c>
      <c r="C11" s="5" t="s">
        <v>21</v>
      </c>
      <c r="D11" s="5" t="s">
        <v>22</v>
      </c>
      <c r="E11" s="5" t="s">
        <v>105</v>
      </c>
      <c r="F11" s="6" t="s">
        <v>106</v>
      </c>
      <c r="G11" s="5" t="s">
        <v>107</v>
      </c>
      <c r="H11" s="7" t="b">
        <v>1</v>
      </c>
      <c r="I11" s="8" t="s">
        <v>108</v>
      </c>
      <c r="J11" s="5" t="s">
        <v>109</v>
      </c>
      <c r="K11" s="5" t="s">
        <v>110</v>
      </c>
      <c r="L11" s="5" t="s">
        <v>111</v>
      </c>
      <c r="M11" s="7" t="b">
        <v>0</v>
      </c>
      <c r="N11" s="5" t="s">
        <v>30</v>
      </c>
      <c r="O11" s="9">
        <v>3.0</v>
      </c>
      <c r="P11" s="5" t="s">
        <v>31</v>
      </c>
      <c r="Q11" s="5" t="s">
        <v>112</v>
      </c>
      <c r="R11" s="3">
        <v>8.5732288832E10</v>
      </c>
      <c r="S11" s="3" t="s">
        <v>33</v>
      </c>
    </row>
    <row r="12">
      <c r="A12" s="4" t="s">
        <v>113</v>
      </c>
      <c r="B12" s="5" t="s">
        <v>20</v>
      </c>
      <c r="C12" s="5" t="s">
        <v>21</v>
      </c>
      <c r="D12" s="5" t="s">
        <v>22</v>
      </c>
      <c r="E12" s="5" t="s">
        <v>114</v>
      </c>
      <c r="F12" s="6" t="s">
        <v>115</v>
      </c>
      <c r="G12" s="5" t="s">
        <v>116</v>
      </c>
      <c r="H12" s="7" t="b">
        <v>1</v>
      </c>
      <c r="I12" s="8" t="s">
        <v>117</v>
      </c>
      <c r="J12" s="5" t="s">
        <v>118</v>
      </c>
      <c r="K12" s="5" t="s">
        <v>119</v>
      </c>
      <c r="L12" s="5" t="s">
        <v>120</v>
      </c>
      <c r="M12" s="7" t="b">
        <v>0</v>
      </c>
      <c r="N12" s="5" t="s">
        <v>30</v>
      </c>
      <c r="O12" s="9">
        <v>5.0</v>
      </c>
      <c r="P12" s="5" t="s">
        <v>31</v>
      </c>
      <c r="Q12" s="5" t="s">
        <v>121</v>
      </c>
      <c r="R12" s="3">
        <v>8.5855657841E10</v>
      </c>
      <c r="S12" s="3" t="s">
        <v>33</v>
      </c>
    </row>
    <row r="13">
      <c r="A13" s="4" t="s">
        <v>122</v>
      </c>
      <c r="B13" s="5" t="s">
        <v>20</v>
      </c>
      <c r="C13" s="5" t="s">
        <v>21</v>
      </c>
      <c r="D13" s="5" t="s">
        <v>22</v>
      </c>
      <c r="E13" s="5" t="s">
        <v>123</v>
      </c>
      <c r="F13" s="6" t="s">
        <v>124</v>
      </c>
      <c r="G13" s="5" t="s">
        <v>125</v>
      </c>
      <c r="H13" s="7" t="b">
        <v>1</v>
      </c>
      <c r="I13" s="8" t="s">
        <v>126</v>
      </c>
      <c r="J13" s="5" t="s">
        <v>127</v>
      </c>
      <c r="K13" s="5" t="s">
        <v>128</v>
      </c>
      <c r="L13" s="5" t="s">
        <v>94</v>
      </c>
      <c r="M13" s="7" t="b">
        <v>0</v>
      </c>
      <c r="N13" s="5" t="s">
        <v>30</v>
      </c>
      <c r="O13" s="9">
        <v>7.0</v>
      </c>
      <c r="P13" s="5" t="s">
        <v>31</v>
      </c>
      <c r="Q13" s="5" t="s">
        <v>129</v>
      </c>
      <c r="S13" s="3" t="s">
        <v>33</v>
      </c>
    </row>
    <row r="14">
      <c r="A14" s="4" t="s">
        <v>130</v>
      </c>
      <c r="B14" s="5" t="s">
        <v>20</v>
      </c>
      <c r="C14" s="5" t="s">
        <v>21</v>
      </c>
      <c r="D14" s="5" t="s">
        <v>22</v>
      </c>
      <c r="E14" s="5" t="s">
        <v>131</v>
      </c>
      <c r="F14" s="6" t="s">
        <v>132</v>
      </c>
      <c r="G14" s="5" t="s">
        <v>133</v>
      </c>
      <c r="H14" s="7" t="b">
        <v>1</v>
      </c>
      <c r="I14" s="8" t="s">
        <v>134</v>
      </c>
      <c r="J14" s="5" t="s">
        <v>135</v>
      </c>
      <c r="K14" s="5" t="s">
        <v>136</v>
      </c>
      <c r="L14" s="5" t="s">
        <v>137</v>
      </c>
      <c r="M14" s="7" t="b">
        <v>0</v>
      </c>
      <c r="N14" s="5" t="s">
        <v>30</v>
      </c>
      <c r="O14" s="9">
        <v>5.0</v>
      </c>
      <c r="P14" s="5" t="s">
        <v>31</v>
      </c>
      <c r="Q14" s="5" t="s">
        <v>138</v>
      </c>
      <c r="R14" s="3">
        <v>8.2289910869E10</v>
      </c>
      <c r="S14" s="3" t="s">
        <v>33</v>
      </c>
    </row>
    <row r="15">
      <c r="A15" s="4" t="s">
        <v>139</v>
      </c>
      <c r="B15" s="5" t="s">
        <v>20</v>
      </c>
      <c r="C15" s="5" t="s">
        <v>21</v>
      </c>
      <c r="D15" s="5" t="s">
        <v>22</v>
      </c>
      <c r="E15" s="5" t="s">
        <v>140</v>
      </c>
      <c r="F15" s="6" t="s">
        <v>141</v>
      </c>
      <c r="G15" s="5" t="s">
        <v>142</v>
      </c>
      <c r="H15" s="7" t="b">
        <v>1</v>
      </c>
      <c r="I15" s="8" t="s">
        <v>143</v>
      </c>
      <c r="J15" s="5" t="s">
        <v>144</v>
      </c>
      <c r="K15" s="5" t="s">
        <v>145</v>
      </c>
      <c r="L15" s="5" t="s">
        <v>146</v>
      </c>
      <c r="M15" s="7" t="b">
        <v>0</v>
      </c>
      <c r="N15" s="5" t="s">
        <v>30</v>
      </c>
      <c r="O15" s="9">
        <v>5.0</v>
      </c>
      <c r="P15" s="5" t="s">
        <v>31</v>
      </c>
      <c r="Q15" s="5" t="s">
        <v>147</v>
      </c>
      <c r="S15" s="3" t="s">
        <v>33</v>
      </c>
    </row>
    <row r="16">
      <c r="A16" s="4" t="s">
        <v>148</v>
      </c>
      <c r="B16" s="5" t="s">
        <v>20</v>
      </c>
      <c r="C16" s="5" t="s">
        <v>21</v>
      </c>
      <c r="D16" s="5" t="s">
        <v>22</v>
      </c>
      <c r="E16" s="5" t="s">
        <v>149</v>
      </c>
      <c r="F16" s="6" t="s">
        <v>150</v>
      </c>
      <c r="G16" s="5" t="s">
        <v>151</v>
      </c>
      <c r="H16" s="7" t="b">
        <v>1</v>
      </c>
      <c r="I16" s="8" t="s">
        <v>152</v>
      </c>
      <c r="J16" s="5" t="s">
        <v>153</v>
      </c>
      <c r="K16" s="5" t="s">
        <v>154</v>
      </c>
      <c r="L16" s="5" t="s">
        <v>155</v>
      </c>
      <c r="M16" s="7" t="b">
        <v>0</v>
      </c>
      <c r="N16" s="5" t="s">
        <v>30</v>
      </c>
      <c r="O16" s="9">
        <v>7.0</v>
      </c>
      <c r="P16" s="5" t="s">
        <v>31</v>
      </c>
      <c r="Q16" s="5" t="s">
        <v>156</v>
      </c>
      <c r="S16" s="3" t="s">
        <v>33</v>
      </c>
    </row>
    <row r="17">
      <c r="A17" s="4" t="s">
        <v>157</v>
      </c>
      <c r="B17" s="5" t="s">
        <v>20</v>
      </c>
      <c r="C17" s="5" t="s">
        <v>21</v>
      </c>
      <c r="D17" s="5" t="s">
        <v>22</v>
      </c>
      <c r="E17" s="5" t="s">
        <v>158</v>
      </c>
      <c r="F17" s="6" t="s">
        <v>159</v>
      </c>
      <c r="G17" s="5" t="s">
        <v>160</v>
      </c>
      <c r="H17" s="7" t="b">
        <v>1</v>
      </c>
      <c r="I17" s="8" t="s">
        <v>161</v>
      </c>
      <c r="J17" s="5" t="s">
        <v>162</v>
      </c>
      <c r="K17" s="5" t="s">
        <v>163</v>
      </c>
      <c r="L17" s="5" t="s">
        <v>164</v>
      </c>
      <c r="M17" s="7" t="b">
        <v>0</v>
      </c>
      <c r="N17" s="5" t="s">
        <v>30</v>
      </c>
      <c r="O17" s="9">
        <v>7.0</v>
      </c>
      <c r="P17" s="5" t="s">
        <v>31</v>
      </c>
      <c r="Q17" s="5" t="s">
        <v>165</v>
      </c>
      <c r="S17" s="3" t="s">
        <v>33</v>
      </c>
    </row>
    <row r="18">
      <c r="A18" s="4" t="s">
        <v>166</v>
      </c>
      <c r="B18" s="5" t="s">
        <v>20</v>
      </c>
      <c r="C18" s="5" t="s">
        <v>21</v>
      </c>
      <c r="D18" s="5" t="s">
        <v>22</v>
      </c>
      <c r="E18" s="5" t="s">
        <v>167</v>
      </c>
      <c r="F18" s="6" t="s">
        <v>168</v>
      </c>
      <c r="G18" s="5" t="s">
        <v>169</v>
      </c>
      <c r="H18" s="7" t="b">
        <v>1</v>
      </c>
      <c r="I18" s="8" t="s">
        <v>170</v>
      </c>
      <c r="J18" s="5" t="s">
        <v>171</v>
      </c>
      <c r="K18" s="5" t="s">
        <v>172</v>
      </c>
      <c r="L18" s="5" t="s">
        <v>173</v>
      </c>
      <c r="M18" s="7" t="b">
        <v>0</v>
      </c>
      <c r="N18" s="5" t="s">
        <v>30</v>
      </c>
      <c r="O18" s="9">
        <v>6.0</v>
      </c>
      <c r="P18" s="5" t="s">
        <v>31</v>
      </c>
      <c r="Q18" s="5" t="s">
        <v>174</v>
      </c>
      <c r="S18" s="3" t="s">
        <v>33</v>
      </c>
    </row>
    <row r="19">
      <c r="A19" s="4" t="s">
        <v>175</v>
      </c>
      <c r="B19" s="5" t="s">
        <v>20</v>
      </c>
      <c r="C19" s="5" t="s">
        <v>21</v>
      </c>
      <c r="D19" s="5" t="s">
        <v>22</v>
      </c>
      <c r="E19" s="5" t="s">
        <v>176</v>
      </c>
      <c r="F19" s="6" t="s">
        <v>177</v>
      </c>
      <c r="G19" s="5" t="s">
        <v>178</v>
      </c>
      <c r="H19" s="7" t="b">
        <v>1</v>
      </c>
      <c r="I19" s="8" t="s">
        <v>179</v>
      </c>
      <c r="J19" s="5" t="s">
        <v>180</v>
      </c>
      <c r="K19" s="5" t="s">
        <v>181</v>
      </c>
      <c r="L19" s="5" t="s">
        <v>182</v>
      </c>
      <c r="M19" s="7" t="b">
        <v>0</v>
      </c>
      <c r="N19" s="5" t="s">
        <v>30</v>
      </c>
      <c r="O19" s="9">
        <v>7.0</v>
      </c>
      <c r="P19" s="5" t="s">
        <v>31</v>
      </c>
      <c r="Q19" s="5" t="s">
        <v>183</v>
      </c>
      <c r="R19" s="3">
        <v>8.111197289E9</v>
      </c>
      <c r="S19" s="3" t="s">
        <v>33</v>
      </c>
    </row>
    <row r="20">
      <c r="A20" s="4" t="s">
        <v>184</v>
      </c>
      <c r="B20" s="5" t="s">
        <v>20</v>
      </c>
      <c r="C20" s="5" t="s">
        <v>21</v>
      </c>
      <c r="D20" s="5" t="s">
        <v>22</v>
      </c>
      <c r="E20" s="5" t="s">
        <v>185</v>
      </c>
      <c r="F20" s="6" t="s">
        <v>186</v>
      </c>
      <c r="G20" s="5" t="s">
        <v>46</v>
      </c>
      <c r="H20" s="7" t="b">
        <v>1</v>
      </c>
      <c r="I20" s="8" t="s">
        <v>187</v>
      </c>
      <c r="J20" s="5" t="s">
        <v>188</v>
      </c>
      <c r="K20" s="5" t="s">
        <v>189</v>
      </c>
      <c r="L20" s="5" t="s">
        <v>190</v>
      </c>
      <c r="M20" s="7" t="b">
        <v>0</v>
      </c>
      <c r="N20" s="5" t="s">
        <v>30</v>
      </c>
      <c r="O20" s="9">
        <v>5.0</v>
      </c>
      <c r="P20" s="5" t="s">
        <v>31</v>
      </c>
      <c r="Q20" s="5" t="s">
        <v>191</v>
      </c>
      <c r="R20" s="3">
        <v>8.1336009785E10</v>
      </c>
      <c r="S20" s="3" t="s">
        <v>33</v>
      </c>
    </row>
    <row r="21">
      <c r="A21" s="4" t="s">
        <v>192</v>
      </c>
      <c r="B21" s="5" t="s">
        <v>20</v>
      </c>
      <c r="C21" s="5" t="s">
        <v>21</v>
      </c>
      <c r="D21" s="5" t="s">
        <v>22</v>
      </c>
      <c r="E21" s="5" t="s">
        <v>193</v>
      </c>
      <c r="F21" s="6" t="s">
        <v>194</v>
      </c>
      <c r="G21" s="5" t="s">
        <v>195</v>
      </c>
      <c r="H21" s="7" t="b">
        <v>1</v>
      </c>
      <c r="I21" s="8" t="s">
        <v>196</v>
      </c>
      <c r="J21" s="5" t="s">
        <v>197</v>
      </c>
      <c r="K21" s="5" t="s">
        <v>198</v>
      </c>
      <c r="L21" s="5" t="s">
        <v>199</v>
      </c>
      <c r="M21" s="7" t="b">
        <v>0</v>
      </c>
      <c r="N21" s="5" t="s">
        <v>30</v>
      </c>
      <c r="O21" s="9">
        <v>3.0</v>
      </c>
      <c r="P21" s="5" t="s">
        <v>31</v>
      </c>
      <c r="Q21" s="5" t="s">
        <v>199</v>
      </c>
      <c r="S21" s="3" t="s">
        <v>33</v>
      </c>
    </row>
    <row r="22">
      <c r="A22" s="4" t="s">
        <v>200</v>
      </c>
      <c r="B22" s="5" t="s">
        <v>20</v>
      </c>
      <c r="C22" s="5" t="s">
        <v>61</v>
      </c>
      <c r="D22" s="5" t="s">
        <v>22</v>
      </c>
      <c r="E22" s="5" t="s">
        <v>201</v>
      </c>
      <c r="F22" s="6" t="s">
        <v>202</v>
      </c>
      <c r="G22" s="5" t="s">
        <v>37</v>
      </c>
      <c r="H22" s="7" t="b">
        <v>1</v>
      </c>
      <c r="I22" s="8" t="s">
        <v>203</v>
      </c>
      <c r="J22" s="5" t="s">
        <v>204</v>
      </c>
      <c r="K22" s="5" t="s">
        <v>205</v>
      </c>
      <c r="L22" s="5" t="s">
        <v>206</v>
      </c>
      <c r="M22" s="7" t="b">
        <v>0</v>
      </c>
      <c r="N22" s="5" t="s">
        <v>30</v>
      </c>
      <c r="O22" s="9">
        <v>9.0</v>
      </c>
      <c r="P22" s="5" t="s">
        <v>31</v>
      </c>
      <c r="Q22" s="5" t="s">
        <v>207</v>
      </c>
      <c r="R22" s="3">
        <v>8.1359282877E10</v>
      </c>
      <c r="S22" s="3" t="s">
        <v>33</v>
      </c>
    </row>
    <row r="23">
      <c r="A23" s="4" t="s">
        <v>208</v>
      </c>
      <c r="B23" s="5" t="s">
        <v>20</v>
      </c>
      <c r="C23" s="5" t="s">
        <v>21</v>
      </c>
      <c r="D23" s="5" t="s">
        <v>22</v>
      </c>
      <c r="E23" s="5" t="s">
        <v>209</v>
      </c>
      <c r="F23" s="6" t="s">
        <v>210</v>
      </c>
      <c r="G23" s="5" t="s">
        <v>72</v>
      </c>
      <c r="H23" s="7" t="b">
        <v>1</v>
      </c>
      <c r="I23" s="8" t="s">
        <v>211</v>
      </c>
      <c r="J23" s="5" t="s">
        <v>212</v>
      </c>
      <c r="K23" s="5" t="s">
        <v>213</v>
      </c>
      <c r="L23" s="5" t="s">
        <v>214</v>
      </c>
      <c r="M23" s="7" t="b">
        <v>0</v>
      </c>
      <c r="N23" s="5" t="s">
        <v>30</v>
      </c>
      <c r="O23" s="9">
        <v>3.0</v>
      </c>
      <c r="P23" s="5" t="s">
        <v>31</v>
      </c>
      <c r="Q23" s="5" t="s">
        <v>215</v>
      </c>
      <c r="S23" s="3" t="s">
        <v>33</v>
      </c>
    </row>
    <row r="24">
      <c r="A24" s="4" t="s">
        <v>216</v>
      </c>
      <c r="B24" s="5" t="s">
        <v>20</v>
      </c>
      <c r="C24" s="5" t="s">
        <v>21</v>
      </c>
      <c r="D24" s="5" t="s">
        <v>22</v>
      </c>
      <c r="E24" s="5" t="s">
        <v>217</v>
      </c>
      <c r="F24" s="6" t="s">
        <v>218</v>
      </c>
      <c r="G24" s="5" t="s">
        <v>25</v>
      </c>
      <c r="H24" s="7" t="b">
        <v>1</v>
      </c>
      <c r="I24" s="8" t="s">
        <v>219</v>
      </c>
      <c r="J24" s="5" t="s">
        <v>220</v>
      </c>
      <c r="K24" s="5" t="s">
        <v>221</v>
      </c>
      <c r="L24" s="5" t="s">
        <v>222</v>
      </c>
      <c r="M24" s="7" t="b">
        <v>0</v>
      </c>
      <c r="N24" s="5" t="s">
        <v>30</v>
      </c>
      <c r="O24" s="9">
        <v>2.0</v>
      </c>
      <c r="P24" s="5" t="s">
        <v>31</v>
      </c>
      <c r="Q24" s="5" t="s">
        <v>223</v>
      </c>
      <c r="R24" s="3" t="s">
        <v>224</v>
      </c>
      <c r="S24" s="3" t="s">
        <v>33</v>
      </c>
    </row>
    <row r="25">
      <c r="A25" s="4" t="s">
        <v>225</v>
      </c>
      <c r="B25" s="5" t="s">
        <v>20</v>
      </c>
      <c r="C25" s="5" t="s">
        <v>21</v>
      </c>
      <c r="D25" s="5" t="s">
        <v>22</v>
      </c>
      <c r="E25" s="5" t="s">
        <v>226</v>
      </c>
      <c r="F25" s="6" t="s">
        <v>227</v>
      </c>
      <c r="G25" s="5" t="s">
        <v>81</v>
      </c>
      <c r="H25" s="7" t="b">
        <v>1</v>
      </c>
      <c r="I25" s="8" t="s">
        <v>228</v>
      </c>
      <c r="J25" s="5" t="s">
        <v>229</v>
      </c>
      <c r="K25" s="5" t="s">
        <v>230</v>
      </c>
      <c r="L25" s="5" t="s">
        <v>231</v>
      </c>
      <c r="M25" s="7" t="b">
        <v>0</v>
      </c>
      <c r="N25" s="5" t="s">
        <v>30</v>
      </c>
      <c r="O25" s="9">
        <v>5.0</v>
      </c>
      <c r="P25" s="5" t="s">
        <v>31</v>
      </c>
      <c r="Q25" s="5" t="s">
        <v>232</v>
      </c>
      <c r="R25" s="3">
        <v>8.3835711379E10</v>
      </c>
      <c r="S25" s="3" t="s">
        <v>33</v>
      </c>
    </row>
    <row r="26">
      <c r="A26" s="4" t="s">
        <v>233</v>
      </c>
      <c r="B26" s="5" t="s">
        <v>20</v>
      </c>
      <c r="C26" s="5" t="s">
        <v>61</v>
      </c>
      <c r="D26" s="5" t="s">
        <v>22</v>
      </c>
      <c r="E26" s="5" t="s">
        <v>234</v>
      </c>
      <c r="F26" s="6" t="s">
        <v>235</v>
      </c>
      <c r="G26" s="5" t="s">
        <v>236</v>
      </c>
      <c r="H26" s="7" t="b">
        <v>1</v>
      </c>
      <c r="I26" s="8" t="s">
        <v>237</v>
      </c>
      <c r="J26" s="5" t="s">
        <v>238</v>
      </c>
      <c r="K26" s="5" t="s">
        <v>239</v>
      </c>
      <c r="L26" s="5" t="s">
        <v>94</v>
      </c>
      <c r="M26" s="7" t="b">
        <v>0</v>
      </c>
      <c r="N26" s="5" t="s">
        <v>30</v>
      </c>
      <c r="O26" s="9">
        <v>9.0</v>
      </c>
      <c r="P26" s="5" t="s">
        <v>31</v>
      </c>
      <c r="Q26" s="5" t="s">
        <v>240</v>
      </c>
      <c r="R26" s="3">
        <v>8.1230451533E10</v>
      </c>
      <c r="S26" s="3" t="s">
        <v>33</v>
      </c>
    </row>
    <row r="27">
      <c r="A27" s="4" t="s">
        <v>241</v>
      </c>
      <c r="B27" s="5" t="s">
        <v>20</v>
      </c>
      <c r="C27" s="5" t="s">
        <v>21</v>
      </c>
      <c r="D27" s="5" t="s">
        <v>22</v>
      </c>
      <c r="E27" s="5" t="s">
        <v>242</v>
      </c>
      <c r="F27" s="6" t="s">
        <v>243</v>
      </c>
      <c r="G27" s="5" t="s">
        <v>142</v>
      </c>
      <c r="H27" s="7" t="b">
        <v>1</v>
      </c>
      <c r="I27" s="8" t="s">
        <v>244</v>
      </c>
      <c r="J27" s="5" t="s">
        <v>245</v>
      </c>
      <c r="K27" s="5" t="s">
        <v>246</v>
      </c>
      <c r="L27" s="5" t="s">
        <v>155</v>
      </c>
      <c r="M27" s="7" t="b">
        <v>0</v>
      </c>
      <c r="N27" s="5" t="s">
        <v>30</v>
      </c>
      <c r="O27" s="9">
        <v>7.0</v>
      </c>
      <c r="P27" s="5" t="s">
        <v>31</v>
      </c>
      <c r="Q27" s="5" t="s">
        <v>247</v>
      </c>
      <c r="R27" s="3">
        <v>8.7705705888E10</v>
      </c>
      <c r="S27" s="3" t="s">
        <v>33</v>
      </c>
    </row>
    <row r="28">
      <c r="A28" s="4" t="s">
        <v>248</v>
      </c>
      <c r="B28" s="5" t="s">
        <v>20</v>
      </c>
      <c r="C28" s="5" t="s">
        <v>21</v>
      </c>
      <c r="D28" s="5" t="s">
        <v>22</v>
      </c>
      <c r="E28" s="5" t="s">
        <v>249</v>
      </c>
      <c r="F28" s="6" t="s">
        <v>250</v>
      </c>
      <c r="G28" s="5" t="s">
        <v>107</v>
      </c>
      <c r="H28" s="7" t="b">
        <v>1</v>
      </c>
      <c r="I28" s="8" t="s">
        <v>251</v>
      </c>
      <c r="J28" s="5" t="s">
        <v>252</v>
      </c>
      <c r="K28" s="5" t="s">
        <v>253</v>
      </c>
      <c r="L28" s="5" t="s">
        <v>146</v>
      </c>
      <c r="M28" s="7" t="b">
        <v>0</v>
      </c>
      <c r="N28" s="5" t="s">
        <v>30</v>
      </c>
      <c r="O28" s="9">
        <v>1.0</v>
      </c>
      <c r="P28" s="5" t="s">
        <v>31</v>
      </c>
      <c r="Q28" s="5" t="s">
        <v>254</v>
      </c>
      <c r="R28" s="3">
        <v>8.1333815282E10</v>
      </c>
      <c r="S28" s="3" t="s">
        <v>33</v>
      </c>
    </row>
    <row r="29">
      <c r="A29" s="8" t="s">
        <v>255</v>
      </c>
      <c r="B29" s="5" t="s">
        <v>20</v>
      </c>
      <c r="C29" s="5" t="s">
        <v>21</v>
      </c>
      <c r="D29" s="5" t="s">
        <v>22</v>
      </c>
      <c r="E29" s="5" t="s">
        <v>256</v>
      </c>
      <c r="F29" s="6" t="s">
        <v>257</v>
      </c>
      <c r="G29" s="5" t="s">
        <v>258</v>
      </c>
      <c r="H29" s="7" t="b">
        <v>1</v>
      </c>
      <c r="I29" s="8" t="s">
        <v>259</v>
      </c>
      <c r="J29" s="5" t="s">
        <v>260</v>
      </c>
      <c r="K29" s="5" t="s">
        <v>261</v>
      </c>
      <c r="L29" s="5" t="s">
        <v>262</v>
      </c>
      <c r="M29" s="7" t="b">
        <v>0</v>
      </c>
      <c r="N29" s="5" t="s">
        <v>30</v>
      </c>
      <c r="O29" s="9">
        <v>1.0</v>
      </c>
      <c r="P29" s="5" t="s">
        <v>31</v>
      </c>
      <c r="Q29" s="5" t="s">
        <v>263</v>
      </c>
      <c r="R29" s="3">
        <v>8.82003571385E11</v>
      </c>
      <c r="S29" s="3" t="s">
        <v>33</v>
      </c>
    </row>
    <row r="30">
      <c r="A30" s="4" t="s">
        <v>264</v>
      </c>
      <c r="B30" s="5" t="s">
        <v>20</v>
      </c>
      <c r="C30" s="5" t="s">
        <v>21</v>
      </c>
      <c r="D30" s="5" t="s">
        <v>22</v>
      </c>
      <c r="E30" s="5" t="s">
        <v>265</v>
      </c>
      <c r="F30" s="6" t="s">
        <v>266</v>
      </c>
      <c r="G30" s="5" t="s">
        <v>267</v>
      </c>
      <c r="H30" s="7" t="b">
        <v>1</v>
      </c>
      <c r="I30" s="8" t="s">
        <v>268</v>
      </c>
      <c r="J30" s="5" t="s">
        <v>269</v>
      </c>
      <c r="K30" s="5" t="s">
        <v>270</v>
      </c>
      <c r="L30" s="5" t="s">
        <v>59</v>
      </c>
      <c r="M30" s="7" t="b">
        <v>0</v>
      </c>
      <c r="N30" s="5" t="s">
        <v>30</v>
      </c>
      <c r="O30" s="9">
        <v>1.0</v>
      </c>
      <c r="P30" s="5" t="s">
        <v>31</v>
      </c>
      <c r="Q30" s="5" t="s">
        <v>271</v>
      </c>
      <c r="S30" s="3" t="s">
        <v>33</v>
      </c>
    </row>
    <row r="31">
      <c r="A31" s="4" t="s">
        <v>272</v>
      </c>
      <c r="B31" s="5" t="s">
        <v>20</v>
      </c>
      <c r="C31" s="5" t="s">
        <v>21</v>
      </c>
      <c r="D31" s="5" t="s">
        <v>22</v>
      </c>
      <c r="E31" s="5" t="s">
        <v>273</v>
      </c>
      <c r="F31" s="6" t="s">
        <v>274</v>
      </c>
      <c r="G31" s="5" t="s">
        <v>275</v>
      </c>
      <c r="H31" s="7" t="b">
        <v>1</v>
      </c>
      <c r="I31" s="8" t="s">
        <v>276</v>
      </c>
      <c r="J31" s="5" t="s">
        <v>277</v>
      </c>
      <c r="K31" s="5" t="s">
        <v>278</v>
      </c>
      <c r="L31" s="5" t="s">
        <v>279</v>
      </c>
      <c r="M31" s="7" t="b">
        <v>0</v>
      </c>
      <c r="N31" s="5" t="s">
        <v>30</v>
      </c>
      <c r="O31" s="9">
        <v>7.0</v>
      </c>
      <c r="P31" s="5" t="s">
        <v>31</v>
      </c>
      <c r="Q31" s="5" t="s">
        <v>280</v>
      </c>
      <c r="R31" s="3">
        <v>8.7700311639E10</v>
      </c>
      <c r="S31" s="3" t="s">
        <v>33</v>
      </c>
    </row>
    <row r="32">
      <c r="A32" s="4" t="s">
        <v>281</v>
      </c>
      <c r="B32" s="5" t="s">
        <v>20</v>
      </c>
      <c r="C32" s="5" t="s">
        <v>21</v>
      </c>
      <c r="D32" s="5" t="s">
        <v>22</v>
      </c>
      <c r="E32" s="5" t="s">
        <v>282</v>
      </c>
      <c r="F32" s="6" t="s">
        <v>283</v>
      </c>
      <c r="G32" s="5" t="s">
        <v>25</v>
      </c>
      <c r="H32" s="7" t="b">
        <v>1</v>
      </c>
      <c r="I32" s="8" t="s">
        <v>284</v>
      </c>
      <c r="J32" s="5" t="s">
        <v>285</v>
      </c>
      <c r="K32" s="5" t="s">
        <v>286</v>
      </c>
      <c r="L32" s="5" t="s">
        <v>287</v>
      </c>
      <c r="M32" s="7" t="b">
        <v>0</v>
      </c>
      <c r="N32" s="5" t="s">
        <v>30</v>
      </c>
      <c r="O32" s="9">
        <v>5.0</v>
      </c>
      <c r="P32" s="5" t="s">
        <v>31</v>
      </c>
      <c r="Q32" s="5" t="s">
        <v>287</v>
      </c>
      <c r="S32" s="3" t="s">
        <v>33</v>
      </c>
    </row>
    <row r="33">
      <c r="A33" s="4" t="s">
        <v>288</v>
      </c>
      <c r="B33" s="5" t="s">
        <v>20</v>
      </c>
      <c r="C33" s="5" t="s">
        <v>61</v>
      </c>
      <c r="D33" s="5" t="s">
        <v>22</v>
      </c>
      <c r="E33" s="5" t="s">
        <v>289</v>
      </c>
      <c r="F33" s="6" t="s">
        <v>290</v>
      </c>
      <c r="G33" s="5" t="s">
        <v>90</v>
      </c>
      <c r="H33" s="7" t="b">
        <v>1</v>
      </c>
      <c r="I33" s="8" t="s">
        <v>291</v>
      </c>
      <c r="J33" s="5" t="s">
        <v>292</v>
      </c>
      <c r="K33" s="5" t="s">
        <v>293</v>
      </c>
      <c r="L33" s="5" t="s">
        <v>294</v>
      </c>
      <c r="M33" s="7" t="b">
        <v>0</v>
      </c>
      <c r="N33" s="5" t="s">
        <v>30</v>
      </c>
      <c r="O33" s="9">
        <v>2.0</v>
      </c>
      <c r="P33" s="5" t="s">
        <v>31</v>
      </c>
      <c r="Q33" s="5" t="s">
        <v>295</v>
      </c>
      <c r="R33" s="3">
        <v>8.5821221465E10</v>
      </c>
      <c r="S33" s="3" t="s">
        <v>33</v>
      </c>
    </row>
    <row r="34">
      <c r="A34" s="4" t="s">
        <v>296</v>
      </c>
      <c r="B34" s="5" t="s">
        <v>20</v>
      </c>
      <c r="C34" s="5" t="s">
        <v>21</v>
      </c>
      <c r="D34" s="5" t="s">
        <v>22</v>
      </c>
      <c r="E34" s="5" t="s">
        <v>297</v>
      </c>
      <c r="F34" s="6" t="s">
        <v>298</v>
      </c>
      <c r="G34" s="5" t="s">
        <v>299</v>
      </c>
      <c r="H34" s="7" t="b">
        <v>1</v>
      </c>
      <c r="I34" s="8" t="s">
        <v>300</v>
      </c>
      <c r="J34" s="5" t="s">
        <v>301</v>
      </c>
      <c r="K34" s="5" t="s">
        <v>302</v>
      </c>
      <c r="L34" s="5" t="s">
        <v>94</v>
      </c>
      <c r="M34" s="7" t="b">
        <v>0</v>
      </c>
      <c r="N34" s="5" t="s">
        <v>30</v>
      </c>
      <c r="O34" s="9">
        <v>5.0</v>
      </c>
      <c r="P34" s="5" t="s">
        <v>31</v>
      </c>
      <c r="Q34" s="5" t="s">
        <v>303</v>
      </c>
      <c r="R34" s="3">
        <v>8.5259066312E10</v>
      </c>
      <c r="S34" s="3" t="s">
        <v>33</v>
      </c>
    </row>
    <row r="35">
      <c r="A35" s="4" t="s">
        <v>304</v>
      </c>
      <c r="B35" s="5" t="s">
        <v>20</v>
      </c>
      <c r="C35" s="5" t="s">
        <v>21</v>
      </c>
      <c r="D35" s="5" t="s">
        <v>22</v>
      </c>
      <c r="E35" s="5" t="s">
        <v>305</v>
      </c>
      <c r="F35" s="6" t="s">
        <v>306</v>
      </c>
      <c r="G35" s="5" t="s">
        <v>178</v>
      </c>
      <c r="H35" s="7" t="b">
        <v>1</v>
      </c>
      <c r="I35" s="8" t="s">
        <v>307</v>
      </c>
      <c r="J35" s="5" t="s">
        <v>308</v>
      </c>
      <c r="K35" s="5" t="s">
        <v>309</v>
      </c>
      <c r="L35" s="5" t="s">
        <v>29</v>
      </c>
      <c r="M35" s="7" t="b">
        <v>0</v>
      </c>
      <c r="N35" s="5" t="s">
        <v>30</v>
      </c>
      <c r="O35" s="9">
        <v>7.0</v>
      </c>
      <c r="P35" s="5" t="s">
        <v>31</v>
      </c>
      <c r="Q35" s="5" t="s">
        <v>310</v>
      </c>
      <c r="R35" s="3">
        <v>8.5234855789E10</v>
      </c>
      <c r="S35" s="3" t="s">
        <v>33</v>
      </c>
    </row>
    <row r="36">
      <c r="A36" s="4" t="s">
        <v>311</v>
      </c>
      <c r="B36" s="5" t="s">
        <v>20</v>
      </c>
      <c r="C36" s="5" t="s">
        <v>21</v>
      </c>
      <c r="D36" s="5" t="s">
        <v>22</v>
      </c>
      <c r="E36" s="5" t="s">
        <v>312</v>
      </c>
      <c r="F36" s="6" t="s">
        <v>313</v>
      </c>
      <c r="G36" s="5" t="s">
        <v>46</v>
      </c>
      <c r="H36" s="7" t="b">
        <v>1</v>
      </c>
      <c r="I36" s="8" t="s">
        <v>314</v>
      </c>
      <c r="J36" s="5" t="s">
        <v>315</v>
      </c>
      <c r="K36" s="5" t="s">
        <v>316</v>
      </c>
      <c r="L36" s="5" t="s">
        <v>59</v>
      </c>
      <c r="M36" s="7" t="b">
        <v>0</v>
      </c>
      <c r="N36" s="5" t="s">
        <v>30</v>
      </c>
      <c r="O36" s="9">
        <v>1.0</v>
      </c>
      <c r="P36" s="5" t="s">
        <v>31</v>
      </c>
      <c r="Q36" s="5" t="s">
        <v>317</v>
      </c>
      <c r="R36" s="3">
        <v>8.5815343144E10</v>
      </c>
      <c r="S36" s="3" t="s">
        <v>33</v>
      </c>
    </row>
    <row r="37">
      <c r="A37" s="4" t="s">
        <v>318</v>
      </c>
      <c r="B37" s="5" t="s">
        <v>20</v>
      </c>
      <c r="C37" s="5" t="s">
        <v>21</v>
      </c>
      <c r="D37" s="5" t="s">
        <v>22</v>
      </c>
      <c r="E37" s="5" t="s">
        <v>319</v>
      </c>
      <c r="F37" s="6" t="s">
        <v>320</v>
      </c>
      <c r="G37" s="5" t="s">
        <v>321</v>
      </c>
      <c r="H37" s="7" t="b">
        <v>1</v>
      </c>
      <c r="I37" s="8" t="s">
        <v>322</v>
      </c>
      <c r="J37" s="5" t="s">
        <v>323</v>
      </c>
      <c r="K37" s="5" t="s">
        <v>324</v>
      </c>
      <c r="L37" s="5" t="s">
        <v>325</v>
      </c>
      <c r="M37" s="7" t="b">
        <v>0</v>
      </c>
      <c r="N37" s="5" t="s">
        <v>30</v>
      </c>
      <c r="O37" s="9">
        <v>5.0</v>
      </c>
      <c r="P37" s="5" t="s">
        <v>31</v>
      </c>
      <c r="Q37" s="5" t="s">
        <v>326</v>
      </c>
      <c r="R37" s="3">
        <v>8.1329199468E10</v>
      </c>
      <c r="S37" s="3" t="s">
        <v>33</v>
      </c>
    </row>
    <row r="38">
      <c r="A38" s="4" t="s">
        <v>327</v>
      </c>
      <c r="B38" s="5" t="s">
        <v>20</v>
      </c>
      <c r="C38" s="5" t="s">
        <v>21</v>
      </c>
      <c r="D38" s="5" t="s">
        <v>22</v>
      </c>
      <c r="E38" s="5" t="s">
        <v>328</v>
      </c>
      <c r="F38" s="6" t="s">
        <v>329</v>
      </c>
      <c r="G38" s="5" t="s">
        <v>330</v>
      </c>
      <c r="H38" s="7" t="b">
        <v>1</v>
      </c>
      <c r="I38" s="8" t="s">
        <v>331</v>
      </c>
      <c r="J38" s="5" t="s">
        <v>332</v>
      </c>
      <c r="K38" s="5" t="s">
        <v>333</v>
      </c>
      <c r="L38" s="5" t="s">
        <v>334</v>
      </c>
      <c r="M38" s="7" t="b">
        <v>0</v>
      </c>
      <c r="N38" s="5" t="s">
        <v>30</v>
      </c>
      <c r="O38" s="9">
        <v>1.0</v>
      </c>
      <c r="P38" s="5" t="s">
        <v>31</v>
      </c>
      <c r="Q38" s="5" t="s">
        <v>335</v>
      </c>
      <c r="R38" s="3" t="s">
        <v>336</v>
      </c>
      <c r="S38" s="3" t="s">
        <v>33</v>
      </c>
    </row>
    <row r="39">
      <c r="A39" s="4" t="s">
        <v>337</v>
      </c>
      <c r="B39" s="5" t="s">
        <v>20</v>
      </c>
      <c r="C39" s="5" t="s">
        <v>61</v>
      </c>
      <c r="D39" s="5" t="s">
        <v>22</v>
      </c>
      <c r="E39" s="5" t="s">
        <v>338</v>
      </c>
      <c r="F39" s="6" t="s">
        <v>339</v>
      </c>
      <c r="G39" s="5" t="s">
        <v>340</v>
      </c>
      <c r="H39" s="7" t="b">
        <v>1</v>
      </c>
      <c r="I39" s="8" t="s">
        <v>341</v>
      </c>
      <c r="J39" s="5" t="s">
        <v>342</v>
      </c>
      <c r="K39" s="5" t="s">
        <v>343</v>
      </c>
      <c r="L39" s="5" t="s">
        <v>164</v>
      </c>
      <c r="M39" s="7" t="b">
        <v>0</v>
      </c>
      <c r="N39" s="5" t="s">
        <v>30</v>
      </c>
      <c r="O39" s="9">
        <v>9.0</v>
      </c>
      <c r="P39" s="5" t="s">
        <v>31</v>
      </c>
      <c r="Q39" s="5" t="s">
        <v>344</v>
      </c>
      <c r="R39" s="3">
        <v>8.1703242871E10</v>
      </c>
      <c r="S39" s="3" t="s">
        <v>33</v>
      </c>
    </row>
    <row r="40">
      <c r="A40" s="4" t="s">
        <v>345</v>
      </c>
      <c r="B40" s="5" t="s">
        <v>20</v>
      </c>
      <c r="C40" s="5" t="s">
        <v>21</v>
      </c>
      <c r="D40" s="5" t="s">
        <v>22</v>
      </c>
      <c r="E40" s="5" t="s">
        <v>346</v>
      </c>
      <c r="F40" s="6" t="s">
        <v>347</v>
      </c>
      <c r="G40" s="5" t="s">
        <v>25</v>
      </c>
      <c r="H40" s="7" t="b">
        <v>1</v>
      </c>
      <c r="I40" s="8" t="s">
        <v>348</v>
      </c>
      <c r="J40" s="5" t="s">
        <v>349</v>
      </c>
      <c r="K40" s="5" t="s">
        <v>350</v>
      </c>
      <c r="L40" s="5" t="s">
        <v>351</v>
      </c>
      <c r="M40" s="7" t="b">
        <v>0</v>
      </c>
      <c r="N40" s="5" t="s">
        <v>30</v>
      </c>
      <c r="O40" s="9">
        <v>5.0</v>
      </c>
      <c r="P40" s="5" t="s">
        <v>31</v>
      </c>
      <c r="Q40" s="5" t="s">
        <v>352</v>
      </c>
      <c r="R40" s="3">
        <v>8.7779475332E10</v>
      </c>
      <c r="S40" s="3" t="s">
        <v>33</v>
      </c>
    </row>
    <row r="41">
      <c r="A41" s="4" t="s">
        <v>353</v>
      </c>
      <c r="B41" s="5" t="s">
        <v>20</v>
      </c>
      <c r="C41" s="5" t="s">
        <v>61</v>
      </c>
      <c r="D41" s="5" t="s">
        <v>22</v>
      </c>
      <c r="E41" s="5" t="s">
        <v>354</v>
      </c>
      <c r="F41" s="6" t="s">
        <v>355</v>
      </c>
      <c r="G41" s="5" t="s">
        <v>356</v>
      </c>
      <c r="H41" s="7" t="b">
        <v>1</v>
      </c>
      <c r="I41" s="8" t="s">
        <v>357</v>
      </c>
      <c r="J41" s="5" t="s">
        <v>358</v>
      </c>
      <c r="K41" s="5" t="s">
        <v>359</v>
      </c>
      <c r="L41" s="5" t="s">
        <v>360</v>
      </c>
      <c r="M41" s="7" t="b">
        <v>0</v>
      </c>
      <c r="N41" s="5" t="s">
        <v>30</v>
      </c>
      <c r="O41" s="9">
        <v>9.0</v>
      </c>
      <c r="P41" s="5" t="s">
        <v>31</v>
      </c>
      <c r="Q41" s="5" t="s">
        <v>361</v>
      </c>
      <c r="R41" s="3" t="s">
        <v>362</v>
      </c>
      <c r="S41" s="3" t="s">
        <v>33</v>
      </c>
    </row>
    <row r="42">
      <c r="A42" s="4" t="s">
        <v>363</v>
      </c>
      <c r="B42" s="5" t="s">
        <v>20</v>
      </c>
      <c r="C42" s="5" t="s">
        <v>21</v>
      </c>
      <c r="D42" s="5" t="s">
        <v>22</v>
      </c>
      <c r="E42" s="5" t="s">
        <v>364</v>
      </c>
      <c r="F42" s="6" t="s">
        <v>365</v>
      </c>
      <c r="G42" s="5" t="s">
        <v>25</v>
      </c>
      <c r="H42" s="7" t="b">
        <v>1</v>
      </c>
      <c r="I42" s="8" t="s">
        <v>366</v>
      </c>
      <c r="J42" s="5" t="s">
        <v>367</v>
      </c>
      <c r="K42" s="5" t="s">
        <v>368</v>
      </c>
      <c r="L42" s="5" t="s">
        <v>369</v>
      </c>
      <c r="M42" s="7" t="b">
        <v>0</v>
      </c>
      <c r="N42" s="5" t="s">
        <v>30</v>
      </c>
      <c r="O42" s="9">
        <v>1.0</v>
      </c>
      <c r="P42" s="5" t="s">
        <v>31</v>
      </c>
      <c r="Q42" s="5" t="s">
        <v>370</v>
      </c>
      <c r="R42" s="3">
        <v>8.2220344471E10</v>
      </c>
      <c r="S42" s="3" t="s">
        <v>33</v>
      </c>
    </row>
    <row r="43">
      <c r="A43" s="4" t="s">
        <v>371</v>
      </c>
      <c r="B43" s="5" t="s">
        <v>20</v>
      </c>
      <c r="C43" s="5" t="s">
        <v>21</v>
      </c>
      <c r="D43" s="5" t="s">
        <v>22</v>
      </c>
      <c r="E43" s="5" t="s">
        <v>372</v>
      </c>
      <c r="F43" s="6" t="s">
        <v>373</v>
      </c>
      <c r="G43" s="5" t="s">
        <v>37</v>
      </c>
      <c r="H43" s="7" t="b">
        <v>1</v>
      </c>
      <c r="I43" s="8" t="s">
        <v>374</v>
      </c>
      <c r="J43" s="5" t="s">
        <v>375</v>
      </c>
      <c r="K43" s="5" t="s">
        <v>376</v>
      </c>
      <c r="L43" s="5" t="s">
        <v>377</v>
      </c>
      <c r="M43" s="7" t="b">
        <v>0</v>
      </c>
      <c r="N43" s="5" t="s">
        <v>30</v>
      </c>
      <c r="O43" s="9">
        <v>1.0</v>
      </c>
      <c r="P43" s="5" t="s">
        <v>31</v>
      </c>
      <c r="Q43" s="5" t="s">
        <v>378</v>
      </c>
      <c r="R43" s="3">
        <v>8.5731587765E10</v>
      </c>
      <c r="S43" s="3" t="s">
        <v>33</v>
      </c>
    </row>
    <row r="44">
      <c r="A44" s="4" t="s">
        <v>379</v>
      </c>
      <c r="B44" s="5" t="s">
        <v>20</v>
      </c>
      <c r="C44" s="5" t="s">
        <v>21</v>
      </c>
      <c r="D44" s="5" t="s">
        <v>22</v>
      </c>
      <c r="E44" s="5" t="s">
        <v>380</v>
      </c>
      <c r="F44" s="6" t="s">
        <v>381</v>
      </c>
      <c r="G44" s="5" t="s">
        <v>46</v>
      </c>
      <c r="H44" s="7" t="b">
        <v>1</v>
      </c>
      <c r="I44" s="8" t="s">
        <v>382</v>
      </c>
      <c r="J44" s="5" t="s">
        <v>383</v>
      </c>
      <c r="K44" s="5" t="s">
        <v>384</v>
      </c>
      <c r="L44" s="5" t="s">
        <v>29</v>
      </c>
      <c r="M44" s="7" t="b">
        <v>0</v>
      </c>
      <c r="N44" s="5" t="s">
        <v>30</v>
      </c>
      <c r="O44" s="9">
        <v>5.0</v>
      </c>
      <c r="P44" s="5" t="s">
        <v>31</v>
      </c>
      <c r="Q44" s="5" t="s">
        <v>385</v>
      </c>
      <c r="R44" s="3">
        <v>8.563558027E9</v>
      </c>
      <c r="S44" s="3" t="s">
        <v>33</v>
      </c>
    </row>
    <row r="45">
      <c r="A45" s="4" t="s">
        <v>386</v>
      </c>
      <c r="B45" s="5" t="s">
        <v>20</v>
      </c>
      <c r="C45" s="5" t="s">
        <v>21</v>
      </c>
      <c r="D45" s="5" t="s">
        <v>22</v>
      </c>
      <c r="E45" s="5" t="s">
        <v>387</v>
      </c>
      <c r="F45" s="6" t="s">
        <v>388</v>
      </c>
      <c r="G45" s="5" t="s">
        <v>25</v>
      </c>
      <c r="H45" s="7" t="b">
        <v>1</v>
      </c>
      <c r="I45" s="8" t="s">
        <v>170</v>
      </c>
      <c r="J45" s="5" t="s">
        <v>389</v>
      </c>
      <c r="K45" s="5" t="s">
        <v>390</v>
      </c>
      <c r="L45" s="5" t="s">
        <v>303</v>
      </c>
      <c r="M45" s="7" t="b">
        <v>0</v>
      </c>
      <c r="N45" s="5" t="s">
        <v>30</v>
      </c>
      <c r="O45" s="9">
        <v>5.0</v>
      </c>
      <c r="P45" s="5" t="s">
        <v>31</v>
      </c>
      <c r="Q45" s="5" t="s">
        <v>391</v>
      </c>
      <c r="S45" s="3" t="s">
        <v>33</v>
      </c>
    </row>
    <row r="46">
      <c r="A46" s="4" t="s">
        <v>392</v>
      </c>
      <c r="B46" s="5" t="s">
        <v>20</v>
      </c>
      <c r="C46" s="5" t="s">
        <v>61</v>
      </c>
      <c r="D46" s="5" t="s">
        <v>22</v>
      </c>
      <c r="E46" s="5" t="s">
        <v>393</v>
      </c>
      <c r="F46" s="6" t="s">
        <v>394</v>
      </c>
      <c r="G46" s="5" t="s">
        <v>395</v>
      </c>
      <c r="H46" s="7" t="b">
        <v>1</v>
      </c>
      <c r="I46" s="8" t="s">
        <v>396</v>
      </c>
      <c r="J46" s="5" t="s">
        <v>397</v>
      </c>
      <c r="K46" s="5" t="s">
        <v>398</v>
      </c>
      <c r="L46" s="5" t="s">
        <v>399</v>
      </c>
      <c r="M46" s="7" t="b">
        <v>0</v>
      </c>
      <c r="N46" s="5" t="s">
        <v>30</v>
      </c>
      <c r="O46" s="9">
        <v>9.0</v>
      </c>
      <c r="P46" s="5" t="s">
        <v>31</v>
      </c>
      <c r="Q46" s="5" t="s">
        <v>400</v>
      </c>
      <c r="R46" s="10">
        <f>+6287765781155</f>
        <v>6287765781155</v>
      </c>
      <c r="S46" s="3" t="s">
        <v>33</v>
      </c>
    </row>
    <row r="47">
      <c r="A47" s="4" t="s">
        <v>401</v>
      </c>
      <c r="B47" s="5" t="s">
        <v>20</v>
      </c>
      <c r="C47" s="5" t="s">
        <v>402</v>
      </c>
      <c r="D47" s="5" t="s">
        <v>22</v>
      </c>
      <c r="E47" s="5" t="s">
        <v>403</v>
      </c>
      <c r="F47" s="6" t="s">
        <v>404</v>
      </c>
      <c r="G47" s="5" t="s">
        <v>299</v>
      </c>
      <c r="H47" s="7" t="b">
        <v>1</v>
      </c>
      <c r="I47" s="8" t="s">
        <v>405</v>
      </c>
      <c r="J47" s="5" t="s">
        <v>406</v>
      </c>
      <c r="K47" s="5" t="s">
        <v>407</v>
      </c>
      <c r="L47" s="5" t="s">
        <v>408</v>
      </c>
      <c r="M47" s="7" t="b">
        <v>0</v>
      </c>
      <c r="N47" s="5" t="s">
        <v>30</v>
      </c>
      <c r="O47" s="9">
        <v>7.0</v>
      </c>
      <c r="P47" s="5" t="s">
        <v>31</v>
      </c>
      <c r="Q47" s="5" t="s">
        <v>409</v>
      </c>
      <c r="R47" s="3">
        <v>8.5389739731E10</v>
      </c>
      <c r="S47" s="3" t="s">
        <v>33</v>
      </c>
    </row>
    <row r="48">
      <c r="A48" s="4" t="s">
        <v>410</v>
      </c>
      <c r="B48" s="5" t="s">
        <v>20</v>
      </c>
      <c r="C48" s="5" t="s">
        <v>21</v>
      </c>
      <c r="D48" s="5" t="s">
        <v>22</v>
      </c>
      <c r="E48" s="5" t="s">
        <v>411</v>
      </c>
      <c r="F48" s="6" t="s">
        <v>412</v>
      </c>
      <c r="G48" s="5" t="s">
        <v>413</v>
      </c>
      <c r="H48" s="7" t="b">
        <v>1</v>
      </c>
      <c r="I48" s="8" t="s">
        <v>414</v>
      </c>
      <c r="J48" s="5" t="s">
        <v>415</v>
      </c>
      <c r="K48" s="5" t="s">
        <v>416</v>
      </c>
      <c r="L48" s="5" t="s">
        <v>417</v>
      </c>
      <c r="M48" s="7" t="b">
        <v>0</v>
      </c>
      <c r="N48" s="5" t="s">
        <v>30</v>
      </c>
      <c r="O48" s="9">
        <v>5.0</v>
      </c>
      <c r="P48" s="5" t="s">
        <v>31</v>
      </c>
      <c r="Q48" s="5" t="s">
        <v>418</v>
      </c>
      <c r="S48" s="3" t="s">
        <v>33</v>
      </c>
    </row>
    <row r="49">
      <c r="A49" s="4" t="s">
        <v>419</v>
      </c>
      <c r="B49" s="5" t="s">
        <v>20</v>
      </c>
      <c r="C49" s="5" t="s">
        <v>21</v>
      </c>
      <c r="D49" s="5" t="s">
        <v>22</v>
      </c>
      <c r="E49" s="5" t="s">
        <v>420</v>
      </c>
      <c r="F49" s="6" t="s">
        <v>421</v>
      </c>
      <c r="G49" s="5" t="s">
        <v>422</v>
      </c>
      <c r="H49" s="7" t="b">
        <v>1</v>
      </c>
      <c r="I49" s="8" t="s">
        <v>423</v>
      </c>
      <c r="J49" s="5" t="s">
        <v>424</v>
      </c>
      <c r="K49" s="5" t="s">
        <v>198</v>
      </c>
      <c r="L49" s="5" t="s">
        <v>29</v>
      </c>
      <c r="M49" s="7" t="b">
        <v>0</v>
      </c>
      <c r="N49" s="5" t="s">
        <v>30</v>
      </c>
      <c r="O49" s="9">
        <v>1.0</v>
      </c>
      <c r="P49" s="5" t="s">
        <v>31</v>
      </c>
      <c r="Q49" s="5" t="s">
        <v>425</v>
      </c>
      <c r="R49" s="3">
        <v>8.2331529373E10</v>
      </c>
      <c r="S49" s="3" t="s">
        <v>33</v>
      </c>
    </row>
    <row r="50">
      <c r="A50" s="4" t="s">
        <v>426</v>
      </c>
      <c r="B50" s="5" t="s">
        <v>20</v>
      </c>
      <c r="C50" s="5" t="s">
        <v>21</v>
      </c>
      <c r="D50" s="5" t="s">
        <v>22</v>
      </c>
      <c r="E50" s="5" t="s">
        <v>427</v>
      </c>
      <c r="F50" s="6" t="s">
        <v>428</v>
      </c>
      <c r="G50" s="5" t="s">
        <v>429</v>
      </c>
      <c r="H50" s="7" t="b">
        <v>1</v>
      </c>
      <c r="I50" s="8" t="s">
        <v>430</v>
      </c>
      <c r="J50" s="5" t="s">
        <v>431</v>
      </c>
      <c r="K50" s="5" t="s">
        <v>432</v>
      </c>
      <c r="L50" s="5" t="s">
        <v>433</v>
      </c>
      <c r="M50" s="7" t="b">
        <v>0</v>
      </c>
      <c r="N50" s="5" t="s">
        <v>30</v>
      </c>
      <c r="O50" s="9">
        <v>5.0</v>
      </c>
      <c r="P50" s="5" t="s">
        <v>31</v>
      </c>
      <c r="Q50" s="5" t="s">
        <v>434</v>
      </c>
      <c r="R50" s="10">
        <f>+6582785804</f>
        <v>6582785804</v>
      </c>
      <c r="S50" s="3" t="s">
        <v>33</v>
      </c>
    </row>
    <row r="51">
      <c r="A51" s="8" t="s">
        <v>435</v>
      </c>
      <c r="B51" s="5" t="s">
        <v>20</v>
      </c>
      <c r="C51" s="5" t="s">
        <v>21</v>
      </c>
      <c r="D51" s="5" t="s">
        <v>22</v>
      </c>
      <c r="E51" s="5" t="s">
        <v>436</v>
      </c>
      <c r="F51" s="6" t="s">
        <v>437</v>
      </c>
      <c r="G51" s="5" t="s">
        <v>46</v>
      </c>
      <c r="H51" s="7" t="b">
        <v>1</v>
      </c>
      <c r="I51" s="8" t="s">
        <v>438</v>
      </c>
      <c r="J51" s="5" t="s">
        <v>439</v>
      </c>
      <c r="K51" s="5" t="s">
        <v>440</v>
      </c>
      <c r="L51" s="5" t="s">
        <v>441</v>
      </c>
      <c r="M51" s="7" t="b">
        <v>0</v>
      </c>
      <c r="N51" s="5" t="s">
        <v>30</v>
      </c>
      <c r="O51" s="9">
        <v>6.0</v>
      </c>
      <c r="P51" s="5" t="s">
        <v>31</v>
      </c>
      <c r="Q51" s="5" t="s">
        <v>442</v>
      </c>
      <c r="R51" s="10">
        <f>+6288223567511</f>
        <v>6288223567511</v>
      </c>
      <c r="S51" s="3" t="s">
        <v>33</v>
      </c>
    </row>
    <row r="52">
      <c r="A52" s="4" t="s">
        <v>443</v>
      </c>
      <c r="B52" s="5" t="s">
        <v>20</v>
      </c>
      <c r="C52" s="5" t="s">
        <v>21</v>
      </c>
      <c r="D52" s="5" t="s">
        <v>22</v>
      </c>
      <c r="E52" s="5" t="s">
        <v>444</v>
      </c>
      <c r="F52" s="6" t="s">
        <v>445</v>
      </c>
      <c r="G52" s="5" t="s">
        <v>116</v>
      </c>
      <c r="H52" s="7" t="b">
        <v>1</v>
      </c>
      <c r="I52" s="8" t="s">
        <v>446</v>
      </c>
      <c r="J52" s="5" t="s">
        <v>447</v>
      </c>
      <c r="K52" s="5" t="s">
        <v>448</v>
      </c>
      <c r="L52" s="5" t="s">
        <v>173</v>
      </c>
      <c r="M52" s="7" t="b">
        <v>0</v>
      </c>
      <c r="N52" s="5" t="s">
        <v>30</v>
      </c>
      <c r="O52" s="9">
        <v>5.0</v>
      </c>
      <c r="P52" s="5" t="s">
        <v>31</v>
      </c>
      <c r="Q52" s="5" t="s">
        <v>449</v>
      </c>
      <c r="S52" s="3" t="s">
        <v>33</v>
      </c>
    </row>
    <row r="53">
      <c r="A53" s="4" t="s">
        <v>450</v>
      </c>
      <c r="B53" s="5" t="s">
        <v>20</v>
      </c>
      <c r="C53" s="5" t="s">
        <v>21</v>
      </c>
      <c r="D53" s="5" t="s">
        <v>22</v>
      </c>
      <c r="E53" s="5" t="s">
        <v>451</v>
      </c>
      <c r="F53" s="6" t="s">
        <v>452</v>
      </c>
      <c r="G53" s="5" t="s">
        <v>453</v>
      </c>
      <c r="H53" s="7" t="b">
        <v>1</v>
      </c>
      <c r="I53" s="8" t="s">
        <v>454</v>
      </c>
      <c r="J53" s="5" t="s">
        <v>455</v>
      </c>
      <c r="K53" s="5" t="s">
        <v>456</v>
      </c>
      <c r="L53" s="5" t="s">
        <v>29</v>
      </c>
      <c r="M53" s="7" t="b">
        <v>0</v>
      </c>
      <c r="N53" s="5" t="s">
        <v>30</v>
      </c>
      <c r="O53" s="9">
        <v>9.0</v>
      </c>
      <c r="P53" s="5" t="s">
        <v>31</v>
      </c>
      <c r="Q53" s="5" t="s">
        <v>29</v>
      </c>
      <c r="S53" s="3" t="s">
        <v>33</v>
      </c>
    </row>
    <row r="54">
      <c r="A54" s="4" t="s">
        <v>457</v>
      </c>
      <c r="B54" s="5" t="s">
        <v>20</v>
      </c>
      <c r="C54" s="5" t="s">
        <v>21</v>
      </c>
      <c r="D54" s="5" t="s">
        <v>22</v>
      </c>
      <c r="E54" s="5" t="s">
        <v>458</v>
      </c>
      <c r="F54" s="6" t="s">
        <v>459</v>
      </c>
      <c r="G54" s="5" t="s">
        <v>195</v>
      </c>
      <c r="H54" s="7" t="b">
        <v>1</v>
      </c>
      <c r="I54" s="8" t="s">
        <v>460</v>
      </c>
      <c r="J54" s="5" t="s">
        <v>461</v>
      </c>
      <c r="K54" s="5" t="s">
        <v>462</v>
      </c>
      <c r="L54" s="5" t="s">
        <v>262</v>
      </c>
      <c r="M54" s="7" t="b">
        <v>0</v>
      </c>
      <c r="N54" s="5" t="s">
        <v>30</v>
      </c>
      <c r="O54" s="9">
        <v>3.0</v>
      </c>
      <c r="P54" s="5" t="s">
        <v>31</v>
      </c>
      <c r="Q54" s="5" t="s">
        <v>463</v>
      </c>
      <c r="R54" s="3">
        <v>8.5290556613E10</v>
      </c>
      <c r="S54" s="3" t="s">
        <v>33</v>
      </c>
    </row>
    <row r="55">
      <c r="A55" s="4" t="s">
        <v>464</v>
      </c>
      <c r="B55" s="5" t="s">
        <v>20</v>
      </c>
      <c r="C55" s="5" t="s">
        <v>21</v>
      </c>
      <c r="D55" s="5" t="s">
        <v>22</v>
      </c>
      <c r="E55" s="5" t="s">
        <v>465</v>
      </c>
      <c r="F55" s="6" t="s">
        <v>466</v>
      </c>
      <c r="G55" s="5" t="s">
        <v>37</v>
      </c>
      <c r="H55" s="7" t="b">
        <v>1</v>
      </c>
      <c r="I55" s="8" t="s">
        <v>467</v>
      </c>
      <c r="J55" s="5" t="s">
        <v>468</v>
      </c>
      <c r="K55" s="5" t="s">
        <v>469</v>
      </c>
      <c r="L55" s="5" t="s">
        <v>470</v>
      </c>
      <c r="M55" s="7" t="b">
        <v>0</v>
      </c>
      <c r="N55" s="5" t="s">
        <v>30</v>
      </c>
      <c r="O55" s="9">
        <v>7.0</v>
      </c>
      <c r="P55" s="5" t="s">
        <v>31</v>
      </c>
      <c r="Q55" s="5" t="s">
        <v>470</v>
      </c>
      <c r="R55" s="3">
        <v>8.5258219163E10</v>
      </c>
      <c r="S55" s="3" t="s">
        <v>33</v>
      </c>
    </row>
    <row r="56">
      <c r="A56" s="4" t="s">
        <v>471</v>
      </c>
      <c r="B56" s="5" t="s">
        <v>20</v>
      </c>
      <c r="C56" s="5" t="s">
        <v>21</v>
      </c>
      <c r="D56" s="5" t="s">
        <v>22</v>
      </c>
      <c r="E56" s="5" t="s">
        <v>472</v>
      </c>
      <c r="F56" s="6" t="s">
        <v>473</v>
      </c>
      <c r="G56" s="5" t="s">
        <v>160</v>
      </c>
      <c r="H56" s="7" t="b">
        <v>1</v>
      </c>
      <c r="I56" s="8" t="s">
        <v>474</v>
      </c>
      <c r="J56" s="5" t="s">
        <v>475</v>
      </c>
      <c r="K56" s="5" t="s">
        <v>476</v>
      </c>
      <c r="L56" s="5" t="s">
        <v>477</v>
      </c>
      <c r="M56" s="7" t="b">
        <v>0</v>
      </c>
      <c r="N56" s="5" t="s">
        <v>30</v>
      </c>
      <c r="O56" s="9">
        <v>7.0</v>
      </c>
      <c r="P56" s="5" t="s">
        <v>31</v>
      </c>
      <c r="Q56" s="5" t="s">
        <v>478</v>
      </c>
      <c r="R56" s="3">
        <v>8.7760200904E10</v>
      </c>
      <c r="S56" s="3" t="s">
        <v>33</v>
      </c>
    </row>
    <row r="57">
      <c r="A57" s="4" t="s">
        <v>479</v>
      </c>
      <c r="B57" s="5" t="s">
        <v>20</v>
      </c>
      <c r="C57" s="5" t="s">
        <v>21</v>
      </c>
      <c r="D57" s="5" t="s">
        <v>22</v>
      </c>
      <c r="E57" s="5" t="s">
        <v>480</v>
      </c>
      <c r="F57" s="6" t="s">
        <v>481</v>
      </c>
      <c r="G57" s="5" t="s">
        <v>236</v>
      </c>
      <c r="H57" s="7" t="b">
        <v>1</v>
      </c>
      <c r="I57" s="8" t="s">
        <v>482</v>
      </c>
      <c r="J57" s="5" t="s">
        <v>483</v>
      </c>
      <c r="K57" s="5" t="s">
        <v>484</v>
      </c>
      <c r="L57" s="5" t="s">
        <v>441</v>
      </c>
      <c r="M57" s="7" t="b">
        <v>0</v>
      </c>
      <c r="N57" s="5" t="s">
        <v>30</v>
      </c>
      <c r="O57" s="9">
        <v>7.0</v>
      </c>
      <c r="P57" s="5" t="s">
        <v>31</v>
      </c>
      <c r="Q57" s="5" t="s">
        <v>485</v>
      </c>
      <c r="R57" s="3">
        <v>8.5228855801E10</v>
      </c>
      <c r="S57" s="3" t="s">
        <v>33</v>
      </c>
    </row>
    <row r="58">
      <c r="A58" s="4" t="s">
        <v>486</v>
      </c>
      <c r="B58" s="5" t="s">
        <v>20</v>
      </c>
      <c r="C58" s="5" t="s">
        <v>21</v>
      </c>
      <c r="D58" s="5" t="s">
        <v>22</v>
      </c>
      <c r="E58" s="5" t="s">
        <v>487</v>
      </c>
      <c r="F58" s="6" t="s">
        <v>488</v>
      </c>
      <c r="G58" s="5" t="s">
        <v>195</v>
      </c>
      <c r="H58" s="7" t="b">
        <v>1</v>
      </c>
      <c r="I58" s="8" t="s">
        <v>489</v>
      </c>
      <c r="J58" s="5" t="s">
        <v>490</v>
      </c>
      <c r="K58" s="5" t="s">
        <v>491</v>
      </c>
      <c r="L58" s="5" t="s">
        <v>492</v>
      </c>
      <c r="M58" s="7" t="b">
        <v>0</v>
      </c>
      <c r="N58" s="5" t="s">
        <v>30</v>
      </c>
      <c r="O58" s="9">
        <v>3.0</v>
      </c>
      <c r="P58" s="5" t="s">
        <v>31</v>
      </c>
      <c r="Q58" s="5" t="s">
        <v>493</v>
      </c>
      <c r="R58" s="3">
        <v>8.1632404032E10</v>
      </c>
      <c r="S58" s="3" t="s">
        <v>33</v>
      </c>
    </row>
    <row r="59">
      <c r="A59" s="4" t="s">
        <v>494</v>
      </c>
      <c r="B59" s="5" t="s">
        <v>20</v>
      </c>
      <c r="C59" s="5" t="s">
        <v>21</v>
      </c>
      <c r="D59" s="5" t="s">
        <v>22</v>
      </c>
      <c r="E59" s="5" t="s">
        <v>495</v>
      </c>
      <c r="F59" s="6" t="s">
        <v>496</v>
      </c>
      <c r="G59" s="5" t="s">
        <v>25</v>
      </c>
      <c r="H59" s="7" t="b">
        <v>1</v>
      </c>
      <c r="I59" s="8" t="s">
        <v>497</v>
      </c>
      <c r="J59" s="5" t="s">
        <v>498</v>
      </c>
      <c r="K59" s="5" t="s">
        <v>499</v>
      </c>
      <c r="L59" s="5" t="s">
        <v>231</v>
      </c>
      <c r="M59" s="7" t="b">
        <v>0</v>
      </c>
      <c r="N59" s="5" t="s">
        <v>30</v>
      </c>
      <c r="O59" s="9">
        <v>5.0</v>
      </c>
      <c r="P59" s="5" t="s">
        <v>31</v>
      </c>
      <c r="Q59" s="5" t="s">
        <v>500</v>
      </c>
      <c r="R59" s="3" t="s">
        <v>501</v>
      </c>
      <c r="S59" s="3" t="s">
        <v>33</v>
      </c>
    </row>
    <row r="60">
      <c r="A60" s="4" t="s">
        <v>502</v>
      </c>
      <c r="B60" s="5" t="s">
        <v>20</v>
      </c>
      <c r="C60" s="5" t="s">
        <v>21</v>
      </c>
      <c r="D60" s="5" t="s">
        <v>22</v>
      </c>
      <c r="E60" s="5" t="s">
        <v>503</v>
      </c>
      <c r="F60" s="6" t="s">
        <v>504</v>
      </c>
      <c r="G60" s="5" t="s">
        <v>46</v>
      </c>
      <c r="H60" s="7" t="b">
        <v>1</v>
      </c>
      <c r="I60" s="8" t="s">
        <v>505</v>
      </c>
      <c r="J60" s="5" t="s">
        <v>506</v>
      </c>
      <c r="K60" s="5" t="s">
        <v>507</v>
      </c>
      <c r="L60" s="5" t="s">
        <v>59</v>
      </c>
      <c r="M60" s="7" t="b">
        <v>0</v>
      </c>
      <c r="N60" s="5" t="s">
        <v>30</v>
      </c>
      <c r="O60" s="9">
        <v>3.0</v>
      </c>
      <c r="P60" s="5" t="s">
        <v>31</v>
      </c>
      <c r="Q60" s="5" t="s">
        <v>508</v>
      </c>
      <c r="R60" s="3">
        <v>8.5745493708E10</v>
      </c>
      <c r="S60" s="3" t="s">
        <v>33</v>
      </c>
    </row>
    <row r="61">
      <c r="A61" s="4" t="s">
        <v>509</v>
      </c>
      <c r="B61" s="5" t="s">
        <v>20</v>
      </c>
      <c r="C61" s="5" t="s">
        <v>61</v>
      </c>
      <c r="D61" s="5" t="s">
        <v>22</v>
      </c>
      <c r="E61" s="5" t="s">
        <v>510</v>
      </c>
      <c r="F61" s="6" t="s">
        <v>511</v>
      </c>
      <c r="G61" s="5" t="s">
        <v>37</v>
      </c>
      <c r="H61" s="7" t="b">
        <v>1</v>
      </c>
      <c r="I61" s="8" t="s">
        <v>512</v>
      </c>
      <c r="J61" s="5" t="s">
        <v>513</v>
      </c>
      <c r="K61" s="5" t="s">
        <v>514</v>
      </c>
      <c r="L61" s="5" t="s">
        <v>515</v>
      </c>
      <c r="M61" s="7" t="b">
        <v>0</v>
      </c>
      <c r="N61" s="5" t="s">
        <v>30</v>
      </c>
      <c r="O61" s="9">
        <v>9.0</v>
      </c>
      <c r="P61" s="5" t="s">
        <v>31</v>
      </c>
      <c r="Q61" s="5" t="s">
        <v>516</v>
      </c>
      <c r="R61" s="3">
        <v>8.2113060742E10</v>
      </c>
      <c r="S61" s="3" t="s">
        <v>33</v>
      </c>
    </row>
    <row r="62">
      <c r="A62" s="4" t="s">
        <v>353</v>
      </c>
      <c r="B62" s="5" t="s">
        <v>20</v>
      </c>
      <c r="C62" s="5" t="s">
        <v>21</v>
      </c>
      <c r="D62" s="5" t="s">
        <v>22</v>
      </c>
      <c r="E62" s="5" t="s">
        <v>354</v>
      </c>
      <c r="F62" s="6" t="s">
        <v>517</v>
      </c>
      <c r="G62" s="5" t="s">
        <v>518</v>
      </c>
      <c r="H62" s="7" t="b">
        <v>1</v>
      </c>
      <c r="I62" s="8" t="s">
        <v>170</v>
      </c>
      <c r="J62" s="5" t="s">
        <v>519</v>
      </c>
      <c r="K62" s="5" t="s">
        <v>359</v>
      </c>
      <c r="L62" s="5" t="s">
        <v>360</v>
      </c>
      <c r="M62" s="7" t="b">
        <v>0</v>
      </c>
      <c r="N62" s="5" t="s">
        <v>30</v>
      </c>
      <c r="O62" s="9">
        <v>9.0</v>
      </c>
      <c r="P62" s="5" t="s">
        <v>31</v>
      </c>
      <c r="Q62" s="5" t="s">
        <v>361</v>
      </c>
      <c r="R62" s="3" t="s">
        <v>362</v>
      </c>
      <c r="S62" s="3" t="s">
        <v>33</v>
      </c>
    </row>
    <row r="63">
      <c r="A63" s="4" t="s">
        <v>520</v>
      </c>
      <c r="B63" s="5" t="s">
        <v>20</v>
      </c>
      <c r="C63" s="5" t="s">
        <v>21</v>
      </c>
      <c r="D63" s="5" t="s">
        <v>22</v>
      </c>
      <c r="E63" s="5" t="s">
        <v>521</v>
      </c>
      <c r="F63" s="6" t="s">
        <v>522</v>
      </c>
      <c r="G63" s="5" t="s">
        <v>523</v>
      </c>
      <c r="H63" s="7" t="b">
        <v>1</v>
      </c>
      <c r="I63" s="8" t="s">
        <v>524</v>
      </c>
      <c r="J63" s="5" t="s">
        <v>525</v>
      </c>
      <c r="K63" s="5" t="s">
        <v>526</v>
      </c>
      <c r="L63" s="5" t="s">
        <v>303</v>
      </c>
      <c r="M63" s="7" t="b">
        <v>0</v>
      </c>
      <c r="N63" s="5" t="s">
        <v>30</v>
      </c>
      <c r="O63" s="9">
        <v>5.0</v>
      </c>
      <c r="P63" s="5" t="s">
        <v>31</v>
      </c>
      <c r="Q63" s="5" t="s">
        <v>303</v>
      </c>
      <c r="R63" s="3">
        <v>8.3140715998E10</v>
      </c>
      <c r="S63" s="3" t="s">
        <v>33</v>
      </c>
    </row>
    <row r="64">
      <c r="A64" s="4" t="s">
        <v>527</v>
      </c>
      <c r="B64" s="5" t="s">
        <v>20</v>
      </c>
      <c r="C64" s="5" t="s">
        <v>21</v>
      </c>
      <c r="D64" s="5" t="s">
        <v>22</v>
      </c>
      <c r="E64" s="5" t="s">
        <v>528</v>
      </c>
      <c r="F64" s="6" t="s">
        <v>529</v>
      </c>
      <c r="G64" s="5" t="s">
        <v>530</v>
      </c>
      <c r="H64" s="7" t="b">
        <v>1</v>
      </c>
      <c r="I64" s="8" t="s">
        <v>531</v>
      </c>
      <c r="J64" s="5" t="s">
        <v>532</v>
      </c>
      <c r="K64" s="5" t="s">
        <v>533</v>
      </c>
      <c r="L64" s="5" t="s">
        <v>441</v>
      </c>
      <c r="M64" s="7" t="b">
        <v>0</v>
      </c>
      <c r="N64" s="5" t="s">
        <v>30</v>
      </c>
      <c r="O64" s="9">
        <v>2.0</v>
      </c>
      <c r="P64" s="5" t="s">
        <v>31</v>
      </c>
      <c r="Q64" s="5" t="s">
        <v>485</v>
      </c>
      <c r="R64" s="3">
        <v>8.89510954E9</v>
      </c>
      <c r="S64" s="3" t="s">
        <v>33</v>
      </c>
    </row>
    <row r="65">
      <c r="A65" s="4" t="s">
        <v>534</v>
      </c>
      <c r="B65" s="5" t="s">
        <v>20</v>
      </c>
      <c r="C65" s="5" t="s">
        <v>21</v>
      </c>
      <c r="D65" s="5" t="s">
        <v>22</v>
      </c>
      <c r="E65" s="5" t="s">
        <v>535</v>
      </c>
      <c r="F65" s="6" t="s">
        <v>536</v>
      </c>
      <c r="G65" s="5" t="s">
        <v>37</v>
      </c>
      <c r="H65" s="7" t="b">
        <v>1</v>
      </c>
      <c r="I65" s="8" t="s">
        <v>537</v>
      </c>
      <c r="J65" s="5" t="s">
        <v>538</v>
      </c>
      <c r="K65" s="5" t="s">
        <v>539</v>
      </c>
      <c r="L65" s="5" t="s">
        <v>231</v>
      </c>
      <c r="M65" s="7" t="b">
        <v>0</v>
      </c>
      <c r="N65" s="5" t="s">
        <v>30</v>
      </c>
      <c r="O65" s="9">
        <v>8.0</v>
      </c>
      <c r="P65" s="5" t="s">
        <v>31</v>
      </c>
      <c r="Q65" s="5" t="s">
        <v>540</v>
      </c>
      <c r="R65" s="3" t="s">
        <v>541</v>
      </c>
      <c r="S65" s="3" t="s">
        <v>33</v>
      </c>
    </row>
    <row r="66">
      <c r="A66" s="4" t="s">
        <v>542</v>
      </c>
      <c r="B66" s="5" t="s">
        <v>20</v>
      </c>
      <c r="C66" s="5" t="s">
        <v>21</v>
      </c>
      <c r="D66" s="5" t="s">
        <v>22</v>
      </c>
      <c r="E66" s="5" t="s">
        <v>543</v>
      </c>
      <c r="F66" s="6" t="s">
        <v>544</v>
      </c>
      <c r="G66" s="5" t="s">
        <v>72</v>
      </c>
      <c r="H66" s="7" t="b">
        <v>1</v>
      </c>
      <c r="I66" s="8" t="s">
        <v>545</v>
      </c>
      <c r="J66" s="5" t="s">
        <v>546</v>
      </c>
      <c r="K66" s="5" t="s">
        <v>547</v>
      </c>
      <c r="L66" s="5" t="s">
        <v>59</v>
      </c>
      <c r="M66" s="7" t="b">
        <v>0</v>
      </c>
      <c r="N66" s="5" t="s">
        <v>30</v>
      </c>
      <c r="O66" s="9">
        <v>1.0</v>
      </c>
      <c r="P66" s="5" t="s">
        <v>31</v>
      </c>
      <c r="Q66" s="5" t="s">
        <v>548</v>
      </c>
      <c r="S66" s="3" t="s">
        <v>33</v>
      </c>
    </row>
    <row r="67">
      <c r="A67" s="4" t="s">
        <v>549</v>
      </c>
      <c r="B67" s="5" t="s">
        <v>20</v>
      </c>
      <c r="C67" s="5" t="s">
        <v>21</v>
      </c>
      <c r="D67" s="5" t="s">
        <v>22</v>
      </c>
      <c r="E67" s="5" t="s">
        <v>550</v>
      </c>
      <c r="F67" s="6" t="s">
        <v>551</v>
      </c>
      <c r="G67" s="5" t="s">
        <v>46</v>
      </c>
      <c r="H67" s="7" t="b">
        <v>1</v>
      </c>
      <c r="I67" s="8" t="s">
        <v>552</v>
      </c>
      <c r="J67" s="5" t="s">
        <v>553</v>
      </c>
      <c r="K67" s="5" t="s">
        <v>554</v>
      </c>
      <c r="L67" s="5" t="s">
        <v>94</v>
      </c>
      <c r="M67" s="7" t="b">
        <v>0</v>
      </c>
      <c r="N67" s="5" t="s">
        <v>30</v>
      </c>
      <c r="O67" s="9">
        <v>7.0</v>
      </c>
      <c r="P67" s="5" t="s">
        <v>31</v>
      </c>
      <c r="Q67" s="5" t="s">
        <v>555</v>
      </c>
      <c r="S67" s="3" t="s">
        <v>33</v>
      </c>
    </row>
    <row r="68">
      <c r="A68" s="4" t="s">
        <v>556</v>
      </c>
      <c r="B68" s="5" t="s">
        <v>20</v>
      </c>
      <c r="C68" s="5" t="s">
        <v>21</v>
      </c>
      <c r="D68" s="5" t="s">
        <v>22</v>
      </c>
      <c r="E68" s="5" t="s">
        <v>557</v>
      </c>
      <c r="F68" s="6" t="s">
        <v>558</v>
      </c>
      <c r="G68" s="5" t="s">
        <v>559</v>
      </c>
      <c r="H68" s="7" t="b">
        <v>1</v>
      </c>
      <c r="I68" s="8" t="s">
        <v>560</v>
      </c>
      <c r="J68" s="5" t="s">
        <v>561</v>
      </c>
      <c r="K68" s="5" t="s">
        <v>562</v>
      </c>
      <c r="L68" s="5" t="s">
        <v>563</v>
      </c>
      <c r="M68" s="7" t="b">
        <v>0</v>
      </c>
      <c r="N68" s="5" t="s">
        <v>30</v>
      </c>
      <c r="O68" s="9">
        <v>5.0</v>
      </c>
      <c r="P68" s="5" t="s">
        <v>31</v>
      </c>
      <c r="Q68" s="5" t="s">
        <v>564</v>
      </c>
      <c r="S68" s="3" t="s">
        <v>33</v>
      </c>
    </row>
    <row r="69">
      <c r="A69" s="4">
        <f>+6285778046630</f>
        <v>6285778046630</v>
      </c>
      <c r="B69" s="5" t="s">
        <v>20</v>
      </c>
      <c r="C69" s="5" t="s">
        <v>61</v>
      </c>
      <c r="D69" s="5" t="s">
        <v>22</v>
      </c>
      <c r="E69" s="5" t="s">
        <v>565</v>
      </c>
      <c r="F69" s="6" t="s">
        <v>566</v>
      </c>
      <c r="G69" s="5" t="s">
        <v>160</v>
      </c>
      <c r="H69" s="7" t="b">
        <v>1</v>
      </c>
      <c r="I69" s="8" t="s">
        <v>567</v>
      </c>
      <c r="J69" s="5" t="s">
        <v>568</v>
      </c>
      <c r="K69" s="5" t="s">
        <v>569</v>
      </c>
      <c r="L69" s="5" t="s">
        <v>570</v>
      </c>
      <c r="M69" s="7" t="b">
        <v>0</v>
      </c>
      <c r="N69" s="5" t="s">
        <v>30</v>
      </c>
      <c r="O69" s="9">
        <v>8.0</v>
      </c>
      <c r="P69" s="5" t="s">
        <v>31</v>
      </c>
      <c r="Q69" s="5" t="s">
        <v>570</v>
      </c>
      <c r="R69" s="10">
        <f>+6285778046630</f>
        <v>6285778046630</v>
      </c>
      <c r="S69" s="3" t="s">
        <v>33</v>
      </c>
    </row>
    <row r="70">
      <c r="A70" s="4" t="s">
        <v>571</v>
      </c>
      <c r="B70" s="5" t="s">
        <v>20</v>
      </c>
      <c r="C70" s="5" t="s">
        <v>21</v>
      </c>
      <c r="D70" s="5" t="s">
        <v>22</v>
      </c>
      <c r="E70" s="5" t="s">
        <v>572</v>
      </c>
      <c r="F70" s="6" t="s">
        <v>573</v>
      </c>
      <c r="G70" s="5" t="s">
        <v>574</v>
      </c>
      <c r="H70" s="7" t="b">
        <v>1</v>
      </c>
      <c r="I70" s="8" t="s">
        <v>575</v>
      </c>
      <c r="J70" s="5" t="s">
        <v>576</v>
      </c>
      <c r="K70" s="5" t="s">
        <v>577</v>
      </c>
      <c r="L70" s="5" t="s">
        <v>146</v>
      </c>
      <c r="M70" s="7" t="b">
        <v>0</v>
      </c>
      <c r="N70" s="5" t="s">
        <v>30</v>
      </c>
      <c r="O70" s="9">
        <v>1.0</v>
      </c>
      <c r="P70" s="5" t="s">
        <v>31</v>
      </c>
      <c r="Q70" s="5" t="s">
        <v>578</v>
      </c>
      <c r="R70" s="3">
        <v>8.1217659357E10</v>
      </c>
      <c r="S70" s="3" t="s">
        <v>33</v>
      </c>
    </row>
    <row r="71">
      <c r="A71" s="4" t="s">
        <v>579</v>
      </c>
      <c r="B71" s="5" t="s">
        <v>20</v>
      </c>
      <c r="C71" s="5" t="s">
        <v>21</v>
      </c>
      <c r="D71" s="5" t="s">
        <v>22</v>
      </c>
      <c r="E71" s="5" t="s">
        <v>580</v>
      </c>
      <c r="F71" s="6" t="s">
        <v>581</v>
      </c>
      <c r="G71" s="5" t="s">
        <v>236</v>
      </c>
      <c r="H71" s="7" t="b">
        <v>1</v>
      </c>
      <c r="I71" s="8" t="s">
        <v>582</v>
      </c>
      <c r="J71" s="5" t="s">
        <v>583</v>
      </c>
      <c r="K71" s="5" t="s">
        <v>584</v>
      </c>
      <c r="L71" s="5" t="s">
        <v>94</v>
      </c>
      <c r="M71" s="7" t="b">
        <v>0</v>
      </c>
      <c r="N71" s="5" t="s">
        <v>30</v>
      </c>
      <c r="O71" s="9">
        <v>7.0</v>
      </c>
      <c r="P71" s="5" t="s">
        <v>31</v>
      </c>
      <c r="Q71" s="5" t="s">
        <v>585</v>
      </c>
      <c r="R71" s="3">
        <v>8.1252755659E10</v>
      </c>
      <c r="S71" s="3" t="s">
        <v>33</v>
      </c>
    </row>
    <row r="72">
      <c r="A72" s="4" t="s">
        <v>586</v>
      </c>
      <c r="B72" s="5" t="s">
        <v>20</v>
      </c>
      <c r="C72" s="5" t="s">
        <v>21</v>
      </c>
      <c r="D72" s="5" t="s">
        <v>22</v>
      </c>
      <c r="E72" s="5" t="s">
        <v>587</v>
      </c>
      <c r="F72" s="6" t="s">
        <v>588</v>
      </c>
      <c r="G72" s="5" t="s">
        <v>589</v>
      </c>
      <c r="H72" s="7" t="b">
        <v>1</v>
      </c>
      <c r="I72" s="8" t="s">
        <v>590</v>
      </c>
      <c r="J72" s="5" t="s">
        <v>591</v>
      </c>
      <c r="K72" s="5" t="s">
        <v>592</v>
      </c>
      <c r="L72" s="5" t="s">
        <v>593</v>
      </c>
      <c r="M72" s="7" t="b">
        <v>0</v>
      </c>
      <c r="N72" s="5" t="s">
        <v>30</v>
      </c>
      <c r="O72" s="9">
        <v>5.0</v>
      </c>
      <c r="P72" s="5" t="s">
        <v>31</v>
      </c>
      <c r="Q72" s="5" t="s">
        <v>594</v>
      </c>
      <c r="S72" s="3" t="s">
        <v>33</v>
      </c>
    </row>
    <row r="73">
      <c r="A73" s="4" t="s">
        <v>595</v>
      </c>
      <c r="B73" s="5" t="s">
        <v>20</v>
      </c>
      <c r="C73" s="5" t="s">
        <v>21</v>
      </c>
      <c r="D73" s="5" t="s">
        <v>22</v>
      </c>
      <c r="E73" s="5" t="s">
        <v>596</v>
      </c>
      <c r="F73" s="6" t="s">
        <v>597</v>
      </c>
      <c r="G73" s="5" t="s">
        <v>518</v>
      </c>
      <c r="H73" s="7" t="b">
        <v>1</v>
      </c>
      <c r="I73" s="8" t="s">
        <v>598</v>
      </c>
      <c r="J73" s="5" t="s">
        <v>599</v>
      </c>
      <c r="K73" s="5" t="s">
        <v>600</v>
      </c>
      <c r="L73" s="5" t="s">
        <v>173</v>
      </c>
      <c r="M73" s="7" t="b">
        <v>0</v>
      </c>
      <c r="N73" s="5" t="s">
        <v>30</v>
      </c>
      <c r="O73" s="9">
        <v>7.0</v>
      </c>
      <c r="P73" s="5" t="s">
        <v>31</v>
      </c>
      <c r="Q73" s="5" t="s">
        <v>601</v>
      </c>
      <c r="S73" s="3" t="s">
        <v>33</v>
      </c>
    </row>
    <row r="74">
      <c r="A74" s="4" t="s">
        <v>602</v>
      </c>
      <c r="B74" s="5" t="s">
        <v>20</v>
      </c>
      <c r="C74" s="5" t="s">
        <v>61</v>
      </c>
      <c r="D74" s="5" t="s">
        <v>22</v>
      </c>
      <c r="E74" s="5" t="s">
        <v>603</v>
      </c>
      <c r="F74" s="6" t="s">
        <v>604</v>
      </c>
      <c r="G74" s="5" t="s">
        <v>559</v>
      </c>
      <c r="H74" s="7" t="b">
        <v>1</v>
      </c>
      <c r="I74" s="8" t="s">
        <v>605</v>
      </c>
      <c r="J74" s="5" t="s">
        <v>606</v>
      </c>
      <c r="K74" s="5" t="s">
        <v>110</v>
      </c>
      <c r="L74" s="5" t="s">
        <v>607</v>
      </c>
      <c r="M74" s="7" t="b">
        <v>0</v>
      </c>
      <c r="N74" s="5" t="s">
        <v>30</v>
      </c>
      <c r="O74" s="9">
        <v>7.0</v>
      </c>
      <c r="P74" s="5" t="s">
        <v>31</v>
      </c>
      <c r="Q74" s="5" t="s">
        <v>608</v>
      </c>
      <c r="R74" s="3">
        <v>8.1554272735E10</v>
      </c>
      <c r="S74" s="3" t="s">
        <v>33</v>
      </c>
    </row>
    <row r="75">
      <c r="A75" s="4" t="s">
        <v>241</v>
      </c>
      <c r="B75" s="5" t="s">
        <v>20</v>
      </c>
      <c r="C75" s="5" t="s">
        <v>21</v>
      </c>
      <c r="D75" s="5" t="s">
        <v>22</v>
      </c>
      <c r="E75" s="5" t="s">
        <v>242</v>
      </c>
      <c r="F75" s="6" t="s">
        <v>609</v>
      </c>
      <c r="G75" s="5" t="s">
        <v>142</v>
      </c>
      <c r="H75" s="7" t="b">
        <v>1</v>
      </c>
      <c r="I75" s="8" t="s">
        <v>244</v>
      </c>
      <c r="J75" s="5" t="s">
        <v>245</v>
      </c>
      <c r="K75" s="5" t="s">
        <v>610</v>
      </c>
      <c r="L75" s="5" t="s">
        <v>155</v>
      </c>
      <c r="M75" s="7" t="b">
        <v>0</v>
      </c>
      <c r="N75" s="5" t="s">
        <v>30</v>
      </c>
      <c r="O75" s="9">
        <v>7.0</v>
      </c>
      <c r="P75" s="5" t="s">
        <v>31</v>
      </c>
      <c r="Q75" s="5" t="s">
        <v>611</v>
      </c>
      <c r="R75" s="3">
        <v>8.7705705888E10</v>
      </c>
      <c r="S75" s="3" t="s">
        <v>33</v>
      </c>
    </row>
    <row r="76">
      <c r="A76" s="4" t="s">
        <v>612</v>
      </c>
      <c r="B76" s="5" t="s">
        <v>20</v>
      </c>
      <c r="C76" s="5" t="s">
        <v>21</v>
      </c>
      <c r="D76" s="5" t="s">
        <v>22</v>
      </c>
      <c r="E76" s="5" t="s">
        <v>613</v>
      </c>
      <c r="F76" s="6" t="s">
        <v>614</v>
      </c>
      <c r="G76" s="5" t="s">
        <v>25</v>
      </c>
      <c r="H76" s="7" t="b">
        <v>1</v>
      </c>
      <c r="I76" s="8" t="s">
        <v>615</v>
      </c>
      <c r="J76" s="5" t="s">
        <v>616</v>
      </c>
      <c r="K76" s="5" t="s">
        <v>499</v>
      </c>
      <c r="L76" s="5" t="s">
        <v>492</v>
      </c>
      <c r="M76" s="7" t="b">
        <v>0</v>
      </c>
      <c r="N76" s="5" t="s">
        <v>30</v>
      </c>
      <c r="O76" s="9">
        <v>2.0</v>
      </c>
      <c r="P76" s="5" t="s">
        <v>31</v>
      </c>
      <c r="Q76" s="5" t="s">
        <v>617</v>
      </c>
      <c r="R76" s="3">
        <v>8.5382208367E10</v>
      </c>
      <c r="S76" s="3" t="s">
        <v>33</v>
      </c>
    </row>
    <row r="77">
      <c r="A77" s="8" t="s">
        <v>618</v>
      </c>
      <c r="B77" s="5" t="s">
        <v>20</v>
      </c>
      <c r="C77" s="5" t="s">
        <v>21</v>
      </c>
      <c r="D77" s="5" t="s">
        <v>22</v>
      </c>
      <c r="E77" s="5" t="s">
        <v>619</v>
      </c>
      <c r="F77" s="6" t="s">
        <v>620</v>
      </c>
      <c r="G77" s="5" t="s">
        <v>160</v>
      </c>
      <c r="H77" s="7" t="b">
        <v>1</v>
      </c>
      <c r="I77" s="8" t="s">
        <v>621</v>
      </c>
      <c r="J77" s="5" t="s">
        <v>622</v>
      </c>
      <c r="K77" s="5" t="s">
        <v>623</v>
      </c>
      <c r="L77" s="5" t="s">
        <v>334</v>
      </c>
      <c r="M77" s="7" t="b">
        <v>0</v>
      </c>
      <c r="N77" s="5" t="s">
        <v>30</v>
      </c>
      <c r="O77" s="9">
        <v>5.0</v>
      </c>
      <c r="P77" s="5" t="s">
        <v>31</v>
      </c>
      <c r="Q77" s="5" t="s">
        <v>624</v>
      </c>
      <c r="R77" s="3" t="s">
        <v>625</v>
      </c>
      <c r="S77" s="3" t="s">
        <v>33</v>
      </c>
    </row>
    <row r="78">
      <c r="A78" s="4" t="s">
        <v>626</v>
      </c>
      <c r="B78" s="5" t="s">
        <v>20</v>
      </c>
      <c r="C78" s="5" t="s">
        <v>21</v>
      </c>
      <c r="D78" s="5" t="s">
        <v>22</v>
      </c>
      <c r="E78" s="5" t="s">
        <v>627</v>
      </c>
      <c r="F78" s="6" t="s">
        <v>628</v>
      </c>
      <c r="G78" s="5" t="s">
        <v>46</v>
      </c>
      <c r="H78" s="7" t="b">
        <v>1</v>
      </c>
      <c r="I78" s="8" t="s">
        <v>629</v>
      </c>
      <c r="J78" s="5" t="s">
        <v>630</v>
      </c>
      <c r="K78" s="5" t="s">
        <v>631</v>
      </c>
      <c r="L78" s="5" t="s">
        <v>632</v>
      </c>
      <c r="M78" s="7" t="b">
        <v>0</v>
      </c>
      <c r="N78" s="5" t="s">
        <v>30</v>
      </c>
      <c r="O78" s="9">
        <v>3.0</v>
      </c>
      <c r="P78" s="5" t="s">
        <v>31</v>
      </c>
      <c r="Q78" s="5" t="s">
        <v>633</v>
      </c>
      <c r="R78" s="3">
        <v>8.5313265588E10</v>
      </c>
      <c r="S78" s="3" t="s">
        <v>33</v>
      </c>
    </row>
    <row r="79">
      <c r="A79" s="4" t="s">
        <v>634</v>
      </c>
      <c r="B79" s="5" t="s">
        <v>20</v>
      </c>
      <c r="C79" s="5" t="s">
        <v>21</v>
      </c>
      <c r="D79" s="5" t="s">
        <v>22</v>
      </c>
      <c r="E79" s="5" t="s">
        <v>635</v>
      </c>
      <c r="F79" s="6" t="s">
        <v>636</v>
      </c>
      <c r="G79" s="5" t="s">
        <v>160</v>
      </c>
      <c r="H79" s="7" t="b">
        <v>1</v>
      </c>
      <c r="I79" s="8" t="s">
        <v>637</v>
      </c>
      <c r="J79" s="5" t="s">
        <v>638</v>
      </c>
      <c r="K79" s="5" t="s">
        <v>639</v>
      </c>
      <c r="L79" s="5" t="s">
        <v>334</v>
      </c>
      <c r="M79" s="7" t="b">
        <v>0</v>
      </c>
      <c r="N79" s="5" t="s">
        <v>30</v>
      </c>
      <c r="O79" s="9">
        <v>7.0</v>
      </c>
      <c r="P79" s="5" t="s">
        <v>31</v>
      </c>
      <c r="Q79" s="5" t="s">
        <v>334</v>
      </c>
      <c r="R79" s="3">
        <v>8.5646344218E10</v>
      </c>
      <c r="S79" s="3" t="s">
        <v>33</v>
      </c>
    </row>
    <row r="80">
      <c r="A80" s="4" t="s">
        <v>640</v>
      </c>
      <c r="B80" s="5" t="s">
        <v>20</v>
      </c>
      <c r="C80" s="5" t="s">
        <v>61</v>
      </c>
      <c r="D80" s="5" t="s">
        <v>22</v>
      </c>
      <c r="E80" s="5" t="s">
        <v>641</v>
      </c>
      <c r="F80" s="6" t="s">
        <v>642</v>
      </c>
      <c r="G80" s="5" t="s">
        <v>72</v>
      </c>
      <c r="H80" s="7" t="b">
        <v>1</v>
      </c>
      <c r="I80" s="8" t="s">
        <v>643</v>
      </c>
      <c r="J80" s="5" t="s">
        <v>644</v>
      </c>
      <c r="K80" s="5" t="s">
        <v>645</v>
      </c>
      <c r="L80" s="5" t="s">
        <v>492</v>
      </c>
      <c r="M80" s="7" t="b">
        <v>0</v>
      </c>
      <c r="N80" s="5" t="s">
        <v>30</v>
      </c>
      <c r="O80" s="9">
        <v>9.0</v>
      </c>
      <c r="P80" s="5" t="s">
        <v>31</v>
      </c>
      <c r="Q80" s="5" t="s">
        <v>646</v>
      </c>
      <c r="R80" s="3">
        <v>8.5764897391E10</v>
      </c>
      <c r="S80" s="3" t="s">
        <v>33</v>
      </c>
    </row>
    <row r="81">
      <c r="A81" s="4" t="s">
        <v>647</v>
      </c>
      <c r="B81" s="5" t="s">
        <v>20</v>
      </c>
      <c r="C81" s="5" t="s">
        <v>61</v>
      </c>
      <c r="D81" s="5" t="s">
        <v>22</v>
      </c>
      <c r="E81" s="5" t="s">
        <v>648</v>
      </c>
      <c r="F81" s="6" t="s">
        <v>649</v>
      </c>
      <c r="G81" s="5" t="s">
        <v>160</v>
      </c>
      <c r="H81" s="7" t="b">
        <v>1</v>
      </c>
      <c r="I81" s="8" t="s">
        <v>650</v>
      </c>
      <c r="J81" s="5" t="s">
        <v>651</v>
      </c>
      <c r="K81" s="5" t="s">
        <v>652</v>
      </c>
      <c r="L81" s="5" t="s">
        <v>653</v>
      </c>
      <c r="M81" s="7" t="b">
        <v>0</v>
      </c>
      <c r="N81" s="5" t="s">
        <v>30</v>
      </c>
      <c r="O81" s="9">
        <v>5.0</v>
      </c>
      <c r="P81" s="5" t="s">
        <v>31</v>
      </c>
      <c r="Q81" s="5" t="s">
        <v>654</v>
      </c>
      <c r="R81" s="3">
        <v>8.12385378E10</v>
      </c>
      <c r="S81" s="3" t="s">
        <v>33</v>
      </c>
    </row>
    <row r="82">
      <c r="A82" s="4" t="s">
        <v>655</v>
      </c>
      <c r="B82" s="5" t="s">
        <v>20</v>
      </c>
      <c r="C82" s="5" t="s">
        <v>21</v>
      </c>
      <c r="D82" s="5" t="s">
        <v>22</v>
      </c>
      <c r="E82" s="5" t="s">
        <v>656</v>
      </c>
      <c r="F82" s="6" t="s">
        <v>657</v>
      </c>
      <c r="G82" s="5" t="s">
        <v>116</v>
      </c>
      <c r="H82" s="7" t="b">
        <v>1</v>
      </c>
      <c r="I82" s="8" t="s">
        <v>658</v>
      </c>
      <c r="J82" s="5" t="s">
        <v>659</v>
      </c>
      <c r="K82" s="5" t="s">
        <v>66</v>
      </c>
      <c r="L82" s="5" t="s">
        <v>660</v>
      </c>
      <c r="M82" s="7" t="b">
        <v>0</v>
      </c>
      <c r="N82" s="5" t="s">
        <v>30</v>
      </c>
      <c r="O82" s="9">
        <v>3.0</v>
      </c>
      <c r="P82" s="5" t="s">
        <v>31</v>
      </c>
      <c r="Q82" s="5" t="s">
        <v>661</v>
      </c>
      <c r="R82" s="3">
        <v>8.111197289E9</v>
      </c>
      <c r="S82" s="3" t="s">
        <v>33</v>
      </c>
    </row>
    <row r="83">
      <c r="A83" s="4" t="s">
        <v>662</v>
      </c>
      <c r="B83" s="5" t="s">
        <v>20</v>
      </c>
      <c r="C83" s="5" t="s">
        <v>21</v>
      </c>
      <c r="D83" s="5" t="s">
        <v>22</v>
      </c>
      <c r="E83" s="5" t="s">
        <v>663</v>
      </c>
      <c r="F83" s="6" t="s">
        <v>664</v>
      </c>
      <c r="G83" s="5" t="s">
        <v>665</v>
      </c>
      <c r="H83" s="7" t="b">
        <v>1</v>
      </c>
      <c r="I83" s="8" t="s">
        <v>666</v>
      </c>
      <c r="J83" s="5" t="s">
        <v>667</v>
      </c>
      <c r="K83" s="5" t="s">
        <v>668</v>
      </c>
      <c r="L83" s="5" t="s">
        <v>231</v>
      </c>
      <c r="M83" s="7" t="b">
        <v>0</v>
      </c>
      <c r="N83" s="5" t="s">
        <v>30</v>
      </c>
      <c r="O83" s="9">
        <v>5.0</v>
      </c>
      <c r="P83" s="5" t="s">
        <v>31</v>
      </c>
      <c r="Q83" s="5" t="s">
        <v>231</v>
      </c>
      <c r="R83" s="3">
        <v>8.5231501345E10</v>
      </c>
      <c r="S83" s="3" t="s">
        <v>33</v>
      </c>
    </row>
    <row r="84">
      <c r="A84" s="4" t="s">
        <v>669</v>
      </c>
      <c r="B84" s="5" t="s">
        <v>20</v>
      </c>
      <c r="C84" s="5" t="s">
        <v>21</v>
      </c>
      <c r="D84" s="5" t="s">
        <v>22</v>
      </c>
      <c r="E84" s="5" t="s">
        <v>670</v>
      </c>
      <c r="F84" s="6" t="s">
        <v>671</v>
      </c>
      <c r="G84" s="5" t="s">
        <v>142</v>
      </c>
      <c r="H84" s="7" t="b">
        <v>1</v>
      </c>
      <c r="I84" s="8" t="s">
        <v>672</v>
      </c>
      <c r="J84" s="5" t="s">
        <v>673</v>
      </c>
      <c r="K84" s="5" t="s">
        <v>674</v>
      </c>
      <c r="L84" s="5" t="s">
        <v>59</v>
      </c>
      <c r="M84" s="7" t="b">
        <v>0</v>
      </c>
      <c r="N84" s="5" t="s">
        <v>30</v>
      </c>
      <c r="O84" s="9">
        <v>1.0</v>
      </c>
      <c r="P84" s="5" t="s">
        <v>31</v>
      </c>
      <c r="Q84" s="5" t="s">
        <v>675</v>
      </c>
      <c r="S84" s="3" t="s">
        <v>33</v>
      </c>
    </row>
    <row r="85">
      <c r="A85" s="4" t="s">
        <v>34</v>
      </c>
      <c r="B85" s="5" t="s">
        <v>20</v>
      </c>
      <c r="C85" s="5" t="s">
        <v>21</v>
      </c>
      <c r="D85" s="5" t="s">
        <v>22</v>
      </c>
      <c r="E85" s="5" t="s">
        <v>35</v>
      </c>
      <c r="F85" s="6" t="s">
        <v>676</v>
      </c>
      <c r="G85" s="5" t="s">
        <v>37</v>
      </c>
      <c r="H85" s="7" t="b">
        <v>1</v>
      </c>
      <c r="I85" s="8" t="s">
        <v>38</v>
      </c>
      <c r="J85" s="5" t="s">
        <v>39</v>
      </c>
      <c r="K85" s="5" t="s">
        <v>40</v>
      </c>
      <c r="L85" s="5" t="s">
        <v>334</v>
      </c>
      <c r="M85" s="7" t="b">
        <v>0</v>
      </c>
      <c r="N85" s="5" t="s">
        <v>30</v>
      </c>
      <c r="O85" s="9">
        <v>1.0</v>
      </c>
      <c r="P85" s="5" t="s">
        <v>31</v>
      </c>
      <c r="Q85" s="5" t="s">
        <v>677</v>
      </c>
      <c r="R85" s="3">
        <v>8.13303170327E11</v>
      </c>
      <c r="S85" s="3" t="s">
        <v>33</v>
      </c>
    </row>
    <row r="86">
      <c r="A86" s="4" t="s">
        <v>678</v>
      </c>
      <c r="B86" s="5" t="s">
        <v>20</v>
      </c>
      <c r="C86" s="5" t="s">
        <v>61</v>
      </c>
      <c r="D86" s="5" t="s">
        <v>22</v>
      </c>
      <c r="E86" s="5" t="s">
        <v>679</v>
      </c>
      <c r="F86" s="6" t="s">
        <v>680</v>
      </c>
      <c r="G86" s="5" t="s">
        <v>681</v>
      </c>
      <c r="H86" s="7" t="b">
        <v>1</v>
      </c>
      <c r="I86" s="8" t="s">
        <v>682</v>
      </c>
      <c r="J86" s="5" t="s">
        <v>683</v>
      </c>
      <c r="K86" s="5" t="s">
        <v>684</v>
      </c>
      <c r="L86" s="5" t="s">
        <v>351</v>
      </c>
      <c r="M86" s="7" t="b">
        <v>0</v>
      </c>
      <c r="N86" s="5" t="s">
        <v>30</v>
      </c>
      <c r="O86" s="9">
        <v>9.0</v>
      </c>
      <c r="P86" s="5" t="s">
        <v>31</v>
      </c>
      <c r="Q86" s="5" t="s">
        <v>173</v>
      </c>
      <c r="S86" s="3" t="s">
        <v>33</v>
      </c>
    </row>
    <row r="87">
      <c r="A87" s="4" t="s">
        <v>685</v>
      </c>
      <c r="B87" s="5" t="s">
        <v>20</v>
      </c>
      <c r="C87" s="5" t="s">
        <v>21</v>
      </c>
      <c r="D87" s="5" t="s">
        <v>22</v>
      </c>
      <c r="E87" s="5" t="s">
        <v>686</v>
      </c>
      <c r="F87" s="6" t="s">
        <v>687</v>
      </c>
      <c r="G87" s="5" t="s">
        <v>688</v>
      </c>
      <c r="H87" s="7" t="b">
        <v>1</v>
      </c>
      <c r="I87" s="8" t="s">
        <v>689</v>
      </c>
      <c r="J87" s="5" t="s">
        <v>690</v>
      </c>
      <c r="K87" s="5" t="s">
        <v>691</v>
      </c>
      <c r="L87" s="5" t="s">
        <v>334</v>
      </c>
      <c r="M87" s="7" t="b">
        <v>0</v>
      </c>
      <c r="N87" s="5" t="s">
        <v>30</v>
      </c>
      <c r="O87" s="9">
        <v>7.0</v>
      </c>
      <c r="P87" s="5" t="s">
        <v>31</v>
      </c>
      <c r="Q87" s="5" t="s">
        <v>692</v>
      </c>
      <c r="S87" s="3" t="s">
        <v>33</v>
      </c>
    </row>
    <row r="88">
      <c r="A88" s="4" t="s">
        <v>693</v>
      </c>
      <c r="B88" s="5" t="s">
        <v>20</v>
      </c>
      <c r="C88" s="5" t="s">
        <v>21</v>
      </c>
      <c r="D88" s="5" t="s">
        <v>22</v>
      </c>
      <c r="E88" s="5" t="s">
        <v>694</v>
      </c>
      <c r="F88" s="6" t="s">
        <v>695</v>
      </c>
      <c r="G88" s="5" t="s">
        <v>160</v>
      </c>
      <c r="H88" s="7" t="b">
        <v>1</v>
      </c>
      <c r="I88" s="8" t="s">
        <v>696</v>
      </c>
      <c r="J88" s="5" t="s">
        <v>697</v>
      </c>
      <c r="K88" s="5" t="s">
        <v>698</v>
      </c>
      <c r="L88" s="5" t="s">
        <v>699</v>
      </c>
      <c r="M88" s="7" t="b">
        <v>0</v>
      </c>
      <c r="N88" s="5" t="s">
        <v>30</v>
      </c>
      <c r="O88" s="9">
        <v>5.0</v>
      </c>
      <c r="P88" s="5" t="s">
        <v>31</v>
      </c>
      <c r="Q88" s="5" t="s">
        <v>700</v>
      </c>
      <c r="R88" s="3">
        <v>8.5800666826E10</v>
      </c>
      <c r="S88" s="3" t="s">
        <v>33</v>
      </c>
    </row>
    <row r="89">
      <c r="A89" s="4" t="s">
        <v>701</v>
      </c>
      <c r="B89" s="5" t="s">
        <v>20</v>
      </c>
      <c r="C89" s="5" t="s">
        <v>21</v>
      </c>
      <c r="D89" s="5" t="s">
        <v>22</v>
      </c>
      <c r="E89" s="5" t="s">
        <v>702</v>
      </c>
      <c r="F89" s="6" t="s">
        <v>703</v>
      </c>
      <c r="G89" s="5" t="s">
        <v>116</v>
      </c>
      <c r="H89" s="7" t="b">
        <v>1</v>
      </c>
      <c r="I89" s="8" t="s">
        <v>704</v>
      </c>
      <c r="J89" s="5" t="s">
        <v>705</v>
      </c>
      <c r="K89" s="5" t="s">
        <v>706</v>
      </c>
      <c r="L89" s="5" t="s">
        <v>707</v>
      </c>
      <c r="M89" s="7" t="b">
        <v>0</v>
      </c>
      <c r="N89" s="5" t="s">
        <v>30</v>
      </c>
      <c r="O89" s="9">
        <v>5.0</v>
      </c>
      <c r="P89" s="5" t="s">
        <v>31</v>
      </c>
      <c r="Q89" s="5" t="s">
        <v>707</v>
      </c>
      <c r="R89" s="3">
        <v>8.1278913259E10</v>
      </c>
      <c r="S89" s="3" t="s">
        <v>33</v>
      </c>
    </row>
    <row r="90">
      <c r="A90" s="4" t="s">
        <v>708</v>
      </c>
      <c r="B90" s="5" t="s">
        <v>20</v>
      </c>
      <c r="C90" s="5" t="s">
        <v>61</v>
      </c>
      <c r="D90" s="5" t="s">
        <v>22</v>
      </c>
      <c r="E90" s="5" t="s">
        <v>709</v>
      </c>
      <c r="F90" s="6" t="s">
        <v>710</v>
      </c>
      <c r="G90" s="5" t="s">
        <v>236</v>
      </c>
      <c r="H90" s="7" t="b">
        <v>1</v>
      </c>
      <c r="I90" s="8" t="s">
        <v>170</v>
      </c>
      <c r="J90" s="5" t="s">
        <v>711</v>
      </c>
      <c r="K90" s="5" t="s">
        <v>712</v>
      </c>
      <c r="L90" s="5" t="s">
        <v>713</v>
      </c>
      <c r="M90" s="7" t="b">
        <v>0</v>
      </c>
      <c r="N90" s="5" t="s">
        <v>30</v>
      </c>
      <c r="O90" s="9">
        <v>9.0</v>
      </c>
      <c r="P90" s="5" t="s">
        <v>31</v>
      </c>
      <c r="Q90" s="5" t="s">
        <v>714</v>
      </c>
      <c r="R90" s="3">
        <v>8.5290269721E10</v>
      </c>
      <c r="S90" s="3" t="s">
        <v>33</v>
      </c>
    </row>
    <row r="91">
      <c r="A91" s="4" t="s">
        <v>715</v>
      </c>
      <c r="B91" s="5" t="s">
        <v>20</v>
      </c>
      <c r="C91" s="5" t="s">
        <v>21</v>
      </c>
      <c r="D91" s="5" t="s">
        <v>22</v>
      </c>
      <c r="E91" s="5" t="s">
        <v>716</v>
      </c>
      <c r="F91" s="6" t="s">
        <v>717</v>
      </c>
      <c r="G91" s="5" t="s">
        <v>718</v>
      </c>
      <c r="H91" s="7" t="b">
        <v>1</v>
      </c>
      <c r="I91" s="8" t="s">
        <v>719</v>
      </c>
      <c r="J91" s="5" t="s">
        <v>720</v>
      </c>
      <c r="K91" s="5" t="s">
        <v>721</v>
      </c>
      <c r="L91" s="5" t="s">
        <v>722</v>
      </c>
      <c r="M91" s="7" t="b">
        <v>0</v>
      </c>
      <c r="N91" s="5" t="s">
        <v>30</v>
      </c>
      <c r="O91" s="9">
        <v>5.0</v>
      </c>
      <c r="P91" s="5" t="s">
        <v>31</v>
      </c>
      <c r="Q91" s="5" t="s">
        <v>723</v>
      </c>
      <c r="R91" s="10">
        <f>+6282217355433</f>
        <v>6282217355433</v>
      </c>
      <c r="S91" s="3" t="s">
        <v>33</v>
      </c>
    </row>
    <row r="92">
      <c r="A92" s="4" t="s">
        <v>724</v>
      </c>
      <c r="B92" s="5" t="s">
        <v>20</v>
      </c>
      <c r="C92" s="5" t="s">
        <v>21</v>
      </c>
      <c r="D92" s="5" t="s">
        <v>22</v>
      </c>
      <c r="E92" s="5" t="s">
        <v>725</v>
      </c>
      <c r="F92" s="6" t="s">
        <v>726</v>
      </c>
      <c r="G92" s="5" t="s">
        <v>665</v>
      </c>
      <c r="H92" s="7" t="b">
        <v>1</v>
      </c>
      <c r="I92" s="8" t="s">
        <v>727</v>
      </c>
      <c r="J92" s="5" t="s">
        <v>728</v>
      </c>
      <c r="K92" s="5" t="s">
        <v>729</v>
      </c>
      <c r="L92" s="5" t="s">
        <v>146</v>
      </c>
      <c r="M92" s="7" t="b">
        <v>0</v>
      </c>
      <c r="N92" s="5" t="s">
        <v>30</v>
      </c>
      <c r="O92" s="9">
        <v>7.0</v>
      </c>
      <c r="P92" s="5" t="s">
        <v>31</v>
      </c>
      <c r="Q92" s="5" t="s">
        <v>730</v>
      </c>
      <c r="S92" s="3" t="s">
        <v>33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</hyperlinks>
  <drawing r:id="rId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1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</row>
    <row r="2">
      <c r="A2" s="4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6" t="s">
        <v>731</v>
      </c>
      <c r="G2" s="5" t="s">
        <v>25</v>
      </c>
      <c r="H2" s="7" t="b">
        <v>1</v>
      </c>
      <c r="I2" s="8" t="s">
        <v>26</v>
      </c>
      <c r="J2" s="5" t="s">
        <v>27</v>
      </c>
      <c r="K2" s="5" t="s">
        <v>28</v>
      </c>
      <c r="L2" s="5" t="s">
        <v>29</v>
      </c>
      <c r="M2" s="7" t="b">
        <v>0</v>
      </c>
      <c r="N2" s="5" t="s">
        <v>30</v>
      </c>
      <c r="O2" s="9">
        <v>7.0</v>
      </c>
      <c r="P2" s="5" t="s">
        <v>31</v>
      </c>
      <c r="Q2" s="5" t="s">
        <v>32</v>
      </c>
      <c r="R2" s="3">
        <v>8.961255005E10</v>
      </c>
      <c r="S2" s="3" t="s">
        <v>33</v>
      </c>
      <c r="T2" s="11" t="s">
        <v>732</v>
      </c>
    </row>
    <row r="3">
      <c r="A3" s="4" t="s">
        <v>34</v>
      </c>
      <c r="B3" s="5" t="s">
        <v>20</v>
      </c>
      <c r="C3" s="5" t="s">
        <v>21</v>
      </c>
      <c r="D3" s="5" t="s">
        <v>22</v>
      </c>
      <c r="E3" s="5" t="s">
        <v>35</v>
      </c>
      <c r="F3" s="6" t="s">
        <v>733</v>
      </c>
      <c r="G3" s="5" t="s">
        <v>37</v>
      </c>
      <c r="H3" s="7" t="b">
        <v>1</v>
      </c>
      <c r="I3" s="8" t="s">
        <v>38</v>
      </c>
      <c r="J3" s="5" t="s">
        <v>39</v>
      </c>
      <c r="K3" s="5" t="s">
        <v>40</v>
      </c>
      <c r="L3" s="5" t="s">
        <v>41</v>
      </c>
      <c r="M3" s="7" t="b">
        <v>0</v>
      </c>
      <c r="N3" s="5" t="s">
        <v>30</v>
      </c>
      <c r="O3" s="9">
        <v>1.0</v>
      </c>
      <c r="P3" s="5" t="s">
        <v>31</v>
      </c>
      <c r="Q3" s="5" t="s">
        <v>42</v>
      </c>
      <c r="R3" s="3">
        <v>8.1330317027E10</v>
      </c>
      <c r="S3" s="3" t="s">
        <v>33</v>
      </c>
    </row>
    <row r="4">
      <c r="A4" s="4" t="s">
        <v>43</v>
      </c>
      <c r="B4" s="5" t="s">
        <v>20</v>
      </c>
      <c r="C4" s="5" t="s">
        <v>21</v>
      </c>
      <c r="D4" s="5" t="s">
        <v>22</v>
      </c>
      <c r="E4" s="5" t="s">
        <v>44</v>
      </c>
      <c r="F4" s="6" t="s">
        <v>734</v>
      </c>
      <c r="G4" s="5" t="s">
        <v>46</v>
      </c>
      <c r="H4" s="7" t="b">
        <v>1</v>
      </c>
      <c r="I4" s="8" t="s">
        <v>47</v>
      </c>
      <c r="J4" s="5" t="s">
        <v>48</v>
      </c>
      <c r="K4" s="5" t="s">
        <v>49</v>
      </c>
      <c r="L4" s="5" t="s">
        <v>50</v>
      </c>
      <c r="M4" s="7" t="b">
        <v>0</v>
      </c>
      <c r="N4" s="5" t="s">
        <v>30</v>
      </c>
      <c r="O4" s="9">
        <v>5.0</v>
      </c>
      <c r="P4" s="5" t="s">
        <v>31</v>
      </c>
      <c r="Q4" s="5" t="s">
        <v>51</v>
      </c>
      <c r="R4" s="3">
        <v>8.95359667751E11</v>
      </c>
      <c r="S4" s="3" t="s">
        <v>33</v>
      </c>
    </row>
    <row r="5">
      <c r="A5" s="4" t="s">
        <v>52</v>
      </c>
      <c r="B5" s="5" t="s">
        <v>20</v>
      </c>
      <c r="C5" s="5" t="s">
        <v>21</v>
      </c>
      <c r="D5" s="5" t="s">
        <v>22</v>
      </c>
      <c r="E5" s="5" t="s">
        <v>53</v>
      </c>
      <c r="F5" s="6" t="s">
        <v>735</v>
      </c>
      <c r="G5" s="5" t="s">
        <v>55</v>
      </c>
      <c r="H5" s="7" t="b">
        <v>1</v>
      </c>
      <c r="I5" s="8" t="s">
        <v>56</v>
      </c>
      <c r="J5" s="5" t="s">
        <v>57</v>
      </c>
      <c r="K5" s="5" t="s">
        <v>58</v>
      </c>
      <c r="L5" s="5" t="s">
        <v>59</v>
      </c>
      <c r="M5" s="7" t="b">
        <v>0</v>
      </c>
      <c r="N5" s="5" t="s">
        <v>30</v>
      </c>
      <c r="O5" s="9">
        <v>5.0</v>
      </c>
      <c r="P5" s="5" t="s">
        <v>31</v>
      </c>
      <c r="Q5" s="5" t="s">
        <v>59</v>
      </c>
      <c r="S5" s="3" t="s">
        <v>33</v>
      </c>
    </row>
    <row r="6">
      <c r="A6" s="4" t="s">
        <v>60</v>
      </c>
      <c r="B6" s="5" t="s">
        <v>20</v>
      </c>
      <c r="C6" s="5" t="s">
        <v>61</v>
      </c>
      <c r="D6" s="5" t="s">
        <v>22</v>
      </c>
      <c r="E6" s="5" t="s">
        <v>62</v>
      </c>
      <c r="F6" s="6" t="s">
        <v>736</v>
      </c>
      <c r="G6" s="5" t="s">
        <v>37</v>
      </c>
      <c r="H6" s="7" t="b">
        <v>1</v>
      </c>
      <c r="I6" s="8" t="s">
        <v>64</v>
      </c>
      <c r="J6" s="5" t="s">
        <v>65</v>
      </c>
      <c r="K6" s="5" t="s">
        <v>66</v>
      </c>
      <c r="L6" s="5" t="s">
        <v>67</v>
      </c>
      <c r="M6" s="7" t="b">
        <v>0</v>
      </c>
      <c r="N6" s="5" t="s">
        <v>30</v>
      </c>
      <c r="O6" s="9">
        <v>9.0</v>
      </c>
      <c r="P6" s="5" t="s">
        <v>31</v>
      </c>
      <c r="Q6" s="5" t="s">
        <v>68</v>
      </c>
      <c r="S6" s="3" t="s">
        <v>33</v>
      </c>
    </row>
    <row r="7">
      <c r="A7" s="4"/>
      <c r="B7" s="5"/>
      <c r="C7" s="5"/>
      <c r="D7" s="5"/>
      <c r="E7" s="5"/>
      <c r="F7" s="12"/>
      <c r="G7" s="5"/>
      <c r="H7" s="7"/>
      <c r="I7" s="8"/>
      <c r="J7" s="5"/>
      <c r="K7" s="5"/>
      <c r="L7" s="5"/>
      <c r="M7" s="7"/>
      <c r="N7" s="5"/>
      <c r="O7" s="9"/>
      <c r="P7" s="5"/>
      <c r="Q7" s="5"/>
    </row>
    <row r="8">
      <c r="A8" s="8"/>
      <c r="B8" s="5"/>
      <c r="C8" s="5"/>
      <c r="D8" s="5"/>
      <c r="E8" s="5"/>
      <c r="F8" s="12"/>
      <c r="G8" s="5"/>
      <c r="H8" s="7"/>
      <c r="I8" s="8"/>
      <c r="J8" s="5"/>
      <c r="K8" s="5"/>
      <c r="L8" s="5"/>
      <c r="M8" s="7"/>
      <c r="N8" s="5"/>
      <c r="O8" s="9"/>
      <c r="P8" s="5"/>
      <c r="Q8" s="5"/>
    </row>
    <row r="9">
      <c r="A9" s="4"/>
      <c r="B9" s="5"/>
      <c r="C9" s="5"/>
      <c r="D9" s="5"/>
      <c r="E9" s="5"/>
      <c r="F9" s="12"/>
      <c r="G9" s="5"/>
      <c r="H9" s="7"/>
      <c r="I9" s="8"/>
      <c r="J9" s="5"/>
      <c r="K9" s="5"/>
      <c r="L9" s="5"/>
      <c r="M9" s="7"/>
      <c r="N9" s="5"/>
      <c r="O9" s="9"/>
      <c r="P9" s="5"/>
      <c r="Q9" s="5"/>
    </row>
    <row r="10">
      <c r="A10" s="4"/>
      <c r="B10" s="5"/>
      <c r="C10" s="5"/>
      <c r="D10" s="5"/>
      <c r="E10" s="5"/>
      <c r="F10" s="12"/>
      <c r="G10" s="5"/>
      <c r="H10" s="7"/>
      <c r="I10" s="8"/>
      <c r="J10" s="5"/>
      <c r="K10" s="5"/>
      <c r="L10" s="5"/>
      <c r="M10" s="7"/>
      <c r="N10" s="5"/>
      <c r="O10" s="9"/>
      <c r="P10" s="5"/>
      <c r="Q10" s="5"/>
    </row>
    <row r="11">
      <c r="A11" s="4"/>
      <c r="B11" s="5"/>
      <c r="C11" s="5"/>
      <c r="D11" s="5"/>
      <c r="E11" s="5"/>
      <c r="F11" s="12"/>
      <c r="G11" s="5"/>
      <c r="H11" s="7"/>
      <c r="I11" s="8"/>
      <c r="J11" s="5"/>
      <c r="K11" s="5"/>
      <c r="L11" s="5"/>
      <c r="M11" s="7"/>
      <c r="N11" s="5"/>
      <c r="O11" s="9"/>
      <c r="P11" s="5"/>
      <c r="Q11" s="5"/>
    </row>
    <row r="12">
      <c r="A12" s="4"/>
      <c r="B12" s="5"/>
      <c r="C12" s="5"/>
      <c r="D12" s="5"/>
      <c r="E12" s="5"/>
      <c r="F12" s="12"/>
      <c r="G12" s="5"/>
      <c r="H12" s="7"/>
      <c r="I12" s="8"/>
      <c r="J12" s="5"/>
      <c r="K12" s="5"/>
      <c r="L12" s="5"/>
      <c r="M12" s="7"/>
      <c r="N12" s="5"/>
      <c r="O12" s="9"/>
      <c r="P12" s="5"/>
      <c r="Q12" s="5"/>
    </row>
    <row r="13">
      <c r="A13" s="4"/>
      <c r="B13" s="5"/>
      <c r="C13" s="5"/>
      <c r="D13" s="5"/>
      <c r="E13" s="5"/>
      <c r="F13" s="12"/>
      <c r="G13" s="5"/>
      <c r="H13" s="13"/>
      <c r="I13" s="8"/>
      <c r="J13" s="5"/>
      <c r="K13" s="5"/>
      <c r="L13" s="5"/>
      <c r="M13" s="7"/>
      <c r="N13" s="5"/>
      <c r="O13" s="9"/>
      <c r="P13" s="5"/>
      <c r="Q13" s="5"/>
    </row>
    <row r="14">
      <c r="A14" s="4"/>
      <c r="B14" s="5"/>
      <c r="C14" s="5"/>
      <c r="D14" s="5"/>
      <c r="E14" s="5"/>
      <c r="F14" s="12"/>
      <c r="G14" s="5"/>
      <c r="H14" s="7"/>
      <c r="I14" s="8"/>
      <c r="J14" s="5"/>
      <c r="K14" s="5"/>
      <c r="L14" s="5"/>
      <c r="M14" s="7"/>
      <c r="N14" s="5"/>
      <c r="O14" s="9"/>
      <c r="P14" s="5"/>
      <c r="Q14" s="5"/>
    </row>
    <row r="15">
      <c r="A15" s="4"/>
      <c r="B15" s="5"/>
      <c r="C15" s="5"/>
      <c r="D15" s="5"/>
      <c r="E15" s="5"/>
      <c r="F15" s="12"/>
      <c r="G15" s="5"/>
      <c r="H15" s="7"/>
      <c r="I15" s="8"/>
      <c r="J15" s="5"/>
      <c r="K15" s="5"/>
      <c r="L15" s="5"/>
      <c r="M15" s="7"/>
      <c r="N15" s="5"/>
      <c r="O15" s="9"/>
      <c r="P15" s="5"/>
      <c r="Q15" s="5"/>
    </row>
    <row r="16">
      <c r="A16" s="4"/>
      <c r="B16" s="5"/>
      <c r="C16" s="5"/>
      <c r="D16" s="5"/>
      <c r="E16" s="5"/>
      <c r="F16" s="12"/>
      <c r="G16" s="5"/>
      <c r="H16" s="7"/>
      <c r="I16" s="8"/>
      <c r="J16" s="5"/>
      <c r="K16" s="5"/>
      <c r="L16" s="5"/>
      <c r="M16" s="7"/>
      <c r="N16" s="5"/>
      <c r="O16" s="9"/>
      <c r="P16" s="5"/>
      <c r="Q16" s="5"/>
    </row>
    <row r="17">
      <c r="A17" s="4"/>
      <c r="B17" s="5"/>
      <c r="C17" s="5"/>
      <c r="D17" s="5"/>
      <c r="E17" s="5"/>
      <c r="F17" s="12"/>
      <c r="G17" s="5"/>
      <c r="H17" s="7"/>
      <c r="I17" s="8"/>
      <c r="J17" s="5"/>
      <c r="K17" s="5"/>
      <c r="L17" s="5"/>
      <c r="M17" s="7"/>
      <c r="N17" s="5"/>
      <c r="O17" s="9"/>
      <c r="P17" s="5"/>
      <c r="Q17" s="5"/>
    </row>
    <row r="18">
      <c r="A18" s="4"/>
      <c r="B18" s="5"/>
      <c r="C18" s="5"/>
      <c r="D18" s="5"/>
      <c r="E18" s="5"/>
      <c r="F18" s="12"/>
      <c r="G18" s="5"/>
      <c r="H18" s="7"/>
      <c r="I18" s="8"/>
      <c r="J18" s="5"/>
      <c r="K18" s="5"/>
      <c r="L18" s="5"/>
      <c r="M18" s="7"/>
      <c r="N18" s="5"/>
      <c r="O18" s="9"/>
      <c r="P18" s="5"/>
      <c r="Q18" s="5"/>
    </row>
    <row r="19">
      <c r="A19" s="4"/>
      <c r="B19" s="5"/>
      <c r="C19" s="5"/>
      <c r="D19" s="5"/>
      <c r="E19" s="5"/>
      <c r="F19" s="12"/>
      <c r="G19" s="5"/>
      <c r="H19" s="7"/>
      <c r="I19" s="8"/>
      <c r="J19" s="5"/>
      <c r="K19" s="5"/>
      <c r="L19" s="5"/>
      <c r="M19" s="7"/>
      <c r="N19" s="5"/>
      <c r="O19" s="9"/>
      <c r="P19" s="5"/>
      <c r="Q19" s="5"/>
    </row>
    <row r="20">
      <c r="A20" s="4"/>
      <c r="B20" s="5"/>
      <c r="C20" s="5"/>
      <c r="D20" s="5"/>
      <c r="E20" s="5"/>
      <c r="F20" s="12"/>
      <c r="G20" s="5"/>
      <c r="H20" s="7"/>
      <c r="I20" s="8"/>
      <c r="J20" s="5"/>
      <c r="K20" s="5"/>
      <c r="L20" s="5"/>
      <c r="M20" s="7"/>
      <c r="N20" s="5"/>
      <c r="O20" s="9"/>
      <c r="P20" s="5"/>
      <c r="Q20" s="5"/>
    </row>
    <row r="21">
      <c r="A21" s="4"/>
      <c r="B21" s="5"/>
      <c r="C21" s="5"/>
      <c r="D21" s="5"/>
      <c r="E21" s="5"/>
      <c r="F21" s="12"/>
      <c r="G21" s="5"/>
      <c r="H21" s="7"/>
      <c r="I21" s="8"/>
      <c r="J21" s="5"/>
      <c r="K21" s="5"/>
      <c r="L21" s="5"/>
      <c r="M21" s="7"/>
      <c r="N21" s="5"/>
      <c r="O21" s="9"/>
      <c r="P21" s="5"/>
      <c r="Q21" s="5"/>
    </row>
    <row r="22">
      <c r="A22" s="4"/>
      <c r="B22" s="5"/>
      <c r="C22" s="5"/>
      <c r="D22" s="5"/>
      <c r="E22" s="5"/>
      <c r="F22" s="12"/>
      <c r="G22" s="5"/>
      <c r="H22" s="7"/>
      <c r="I22" s="8"/>
      <c r="J22" s="5"/>
      <c r="K22" s="5"/>
      <c r="L22" s="5"/>
      <c r="M22" s="7"/>
      <c r="N22" s="5"/>
      <c r="O22" s="9"/>
      <c r="P22" s="5"/>
      <c r="Q22" s="5"/>
    </row>
    <row r="23">
      <c r="A23" s="4"/>
      <c r="B23" s="5"/>
      <c r="C23" s="5"/>
      <c r="D23" s="5"/>
      <c r="E23" s="5"/>
      <c r="F23" s="12"/>
      <c r="G23" s="5"/>
      <c r="H23" s="7"/>
      <c r="I23" s="8"/>
      <c r="J23" s="5"/>
      <c r="K23" s="5"/>
      <c r="L23" s="5"/>
      <c r="M23" s="7"/>
      <c r="N23" s="5"/>
      <c r="O23" s="9"/>
      <c r="P23" s="5"/>
      <c r="Q23" s="5"/>
    </row>
    <row r="24">
      <c r="A24" s="4"/>
      <c r="B24" s="5"/>
      <c r="C24" s="5"/>
      <c r="D24" s="5"/>
      <c r="E24" s="5"/>
      <c r="F24" s="12"/>
      <c r="G24" s="5"/>
      <c r="H24" s="7"/>
      <c r="I24" s="8"/>
      <c r="J24" s="5"/>
      <c r="K24" s="5"/>
      <c r="L24" s="5"/>
      <c r="M24" s="7"/>
      <c r="N24" s="5"/>
      <c r="O24" s="9"/>
      <c r="P24" s="5"/>
      <c r="Q24" s="5"/>
    </row>
    <row r="25">
      <c r="A25" s="4"/>
      <c r="B25" s="5"/>
      <c r="C25" s="5"/>
      <c r="D25" s="5"/>
      <c r="E25" s="5"/>
      <c r="F25" s="12"/>
      <c r="G25" s="5"/>
      <c r="H25" s="7"/>
      <c r="I25" s="8"/>
      <c r="J25" s="5"/>
      <c r="K25" s="5"/>
      <c r="L25" s="5"/>
      <c r="M25" s="7"/>
      <c r="N25" s="5"/>
      <c r="O25" s="9"/>
      <c r="P25" s="5"/>
      <c r="Q25" s="5"/>
    </row>
    <row r="26">
      <c r="A26" s="4"/>
      <c r="B26" s="5"/>
      <c r="C26" s="5"/>
      <c r="D26" s="5"/>
      <c r="E26" s="5"/>
      <c r="F26" s="12"/>
      <c r="G26" s="5"/>
      <c r="H26" s="7"/>
      <c r="I26" s="8"/>
      <c r="J26" s="5"/>
      <c r="K26" s="5"/>
      <c r="L26" s="5"/>
      <c r="M26" s="7"/>
      <c r="N26" s="5"/>
      <c r="O26" s="9"/>
      <c r="P26" s="5"/>
      <c r="Q26" s="5"/>
    </row>
    <row r="27">
      <c r="A27" s="4"/>
      <c r="B27" s="5"/>
      <c r="C27" s="5"/>
      <c r="D27" s="5"/>
      <c r="E27" s="5"/>
      <c r="F27" s="12"/>
      <c r="G27" s="5"/>
      <c r="H27" s="7"/>
      <c r="I27" s="8"/>
      <c r="J27" s="5"/>
      <c r="K27" s="5"/>
      <c r="L27" s="5"/>
      <c r="M27" s="7"/>
      <c r="N27" s="5"/>
      <c r="O27" s="9"/>
      <c r="P27" s="5"/>
      <c r="Q27" s="5"/>
    </row>
    <row r="28">
      <c r="A28" s="4"/>
      <c r="B28" s="5"/>
      <c r="C28" s="5"/>
      <c r="D28" s="5"/>
      <c r="E28" s="5"/>
      <c r="F28" s="12"/>
      <c r="G28" s="5"/>
      <c r="H28" s="7"/>
      <c r="I28" s="8"/>
      <c r="J28" s="5"/>
      <c r="K28" s="5"/>
      <c r="L28" s="5"/>
      <c r="M28" s="7"/>
      <c r="N28" s="5"/>
      <c r="O28" s="9"/>
      <c r="P28" s="5"/>
      <c r="Q28" s="5"/>
    </row>
    <row r="29">
      <c r="A29" s="8"/>
      <c r="B29" s="5"/>
      <c r="C29" s="5"/>
      <c r="D29" s="5"/>
      <c r="E29" s="5"/>
      <c r="F29" s="12"/>
      <c r="G29" s="5"/>
      <c r="H29" s="7"/>
      <c r="I29" s="8"/>
      <c r="J29" s="5"/>
      <c r="K29" s="5"/>
      <c r="L29" s="5"/>
      <c r="M29" s="7"/>
      <c r="N29" s="5"/>
      <c r="O29" s="9"/>
      <c r="P29" s="5"/>
      <c r="Q29" s="5"/>
    </row>
    <row r="30">
      <c r="A30" s="4"/>
      <c r="B30" s="5"/>
      <c r="C30" s="5"/>
      <c r="D30" s="5"/>
      <c r="E30" s="5"/>
      <c r="F30" s="12"/>
      <c r="G30" s="5"/>
      <c r="H30" s="7"/>
      <c r="I30" s="8"/>
      <c r="J30" s="5"/>
      <c r="K30" s="5"/>
      <c r="L30" s="5"/>
      <c r="M30" s="7"/>
      <c r="N30" s="5"/>
      <c r="O30" s="9"/>
      <c r="P30" s="5"/>
      <c r="Q30" s="5"/>
    </row>
    <row r="31">
      <c r="A31" s="4"/>
      <c r="B31" s="5"/>
      <c r="C31" s="5"/>
      <c r="D31" s="5"/>
      <c r="E31" s="5"/>
      <c r="F31" s="12"/>
      <c r="G31" s="5"/>
      <c r="H31" s="7"/>
      <c r="I31" s="8"/>
      <c r="J31" s="5"/>
      <c r="K31" s="5"/>
      <c r="L31" s="5"/>
      <c r="M31" s="7"/>
      <c r="N31" s="5"/>
      <c r="O31" s="9"/>
      <c r="P31" s="5"/>
      <c r="Q31" s="5"/>
    </row>
    <row r="32">
      <c r="A32" s="4"/>
      <c r="B32" s="5"/>
      <c r="C32" s="5"/>
      <c r="D32" s="5"/>
      <c r="E32" s="5"/>
      <c r="F32" s="12"/>
      <c r="G32" s="5"/>
      <c r="H32" s="7"/>
      <c r="I32" s="8"/>
      <c r="J32" s="5"/>
      <c r="K32" s="5"/>
      <c r="L32" s="5"/>
      <c r="M32" s="7"/>
      <c r="N32" s="5"/>
      <c r="O32" s="9"/>
      <c r="P32" s="5"/>
      <c r="Q32" s="5"/>
    </row>
    <row r="33">
      <c r="A33" s="4"/>
      <c r="B33" s="5"/>
      <c r="C33" s="5"/>
      <c r="D33" s="5"/>
      <c r="E33" s="5"/>
      <c r="F33" s="12"/>
      <c r="G33" s="5"/>
      <c r="H33" s="7"/>
      <c r="I33" s="8"/>
      <c r="J33" s="5"/>
      <c r="K33" s="5"/>
      <c r="L33" s="5"/>
      <c r="M33" s="7"/>
      <c r="N33" s="5"/>
      <c r="O33" s="9"/>
      <c r="P33" s="5"/>
      <c r="Q33" s="5"/>
    </row>
    <row r="34">
      <c r="A34" s="4"/>
      <c r="B34" s="5"/>
      <c r="C34" s="5"/>
      <c r="D34" s="5"/>
      <c r="E34" s="5"/>
      <c r="F34" s="12"/>
      <c r="G34" s="5"/>
      <c r="H34" s="7"/>
      <c r="I34" s="8"/>
      <c r="J34" s="5"/>
      <c r="K34" s="5"/>
      <c r="L34" s="5"/>
      <c r="M34" s="7"/>
      <c r="N34" s="5"/>
      <c r="O34" s="9"/>
      <c r="P34" s="5"/>
      <c r="Q34" s="5"/>
    </row>
    <row r="35">
      <c r="A35" s="4"/>
      <c r="B35" s="5"/>
      <c r="C35" s="5"/>
      <c r="D35" s="5"/>
      <c r="E35" s="5"/>
      <c r="F35" s="12"/>
      <c r="G35" s="5"/>
      <c r="H35" s="7"/>
      <c r="I35" s="8"/>
      <c r="J35" s="5"/>
      <c r="K35" s="5"/>
      <c r="L35" s="5"/>
      <c r="M35" s="7"/>
      <c r="N35" s="5"/>
      <c r="O35" s="9"/>
      <c r="P35" s="5"/>
      <c r="Q35" s="5"/>
    </row>
    <row r="36">
      <c r="A36" s="4"/>
      <c r="B36" s="5"/>
      <c r="C36" s="5"/>
      <c r="D36" s="5"/>
      <c r="E36" s="5"/>
      <c r="F36" s="12"/>
      <c r="G36" s="5"/>
      <c r="H36" s="7"/>
      <c r="I36" s="8"/>
      <c r="J36" s="5"/>
      <c r="K36" s="5"/>
      <c r="L36" s="5"/>
      <c r="M36" s="7"/>
      <c r="N36" s="5"/>
      <c r="O36" s="9"/>
      <c r="P36" s="5"/>
      <c r="Q36" s="5"/>
    </row>
    <row r="37">
      <c r="A37" s="4"/>
      <c r="B37" s="5"/>
      <c r="C37" s="5"/>
      <c r="D37" s="5"/>
      <c r="E37" s="5"/>
      <c r="F37" s="12"/>
      <c r="G37" s="5"/>
      <c r="H37" s="7"/>
      <c r="I37" s="8"/>
      <c r="J37" s="5"/>
      <c r="K37" s="5"/>
      <c r="L37" s="5"/>
      <c r="M37" s="7"/>
      <c r="N37" s="5"/>
      <c r="O37" s="9"/>
      <c r="P37" s="5"/>
      <c r="Q37" s="5"/>
    </row>
    <row r="38">
      <c r="A38" s="4"/>
      <c r="B38" s="5"/>
      <c r="C38" s="5"/>
      <c r="D38" s="5"/>
      <c r="E38" s="5"/>
      <c r="F38" s="12"/>
      <c r="G38" s="5"/>
      <c r="H38" s="7"/>
      <c r="I38" s="8"/>
      <c r="J38" s="5"/>
      <c r="K38" s="5"/>
      <c r="L38" s="5"/>
      <c r="M38" s="7"/>
      <c r="N38" s="5"/>
      <c r="O38" s="9"/>
      <c r="P38" s="5"/>
      <c r="Q38" s="5"/>
    </row>
    <row r="39">
      <c r="A39" s="4"/>
      <c r="B39" s="5"/>
      <c r="C39" s="5"/>
      <c r="D39" s="5"/>
      <c r="E39" s="5"/>
      <c r="F39" s="12"/>
      <c r="G39" s="5"/>
      <c r="H39" s="7"/>
      <c r="I39" s="8"/>
      <c r="J39" s="5"/>
      <c r="K39" s="5"/>
      <c r="L39" s="5"/>
      <c r="M39" s="7"/>
      <c r="N39" s="5"/>
      <c r="O39" s="9"/>
      <c r="P39" s="5"/>
      <c r="Q39" s="5"/>
    </row>
    <row r="40">
      <c r="A40" s="4"/>
      <c r="B40" s="5"/>
      <c r="C40" s="5"/>
      <c r="D40" s="5"/>
      <c r="E40" s="5"/>
      <c r="F40" s="12"/>
      <c r="G40" s="5"/>
      <c r="H40" s="7"/>
      <c r="I40" s="8"/>
      <c r="J40" s="5"/>
      <c r="K40" s="5"/>
      <c r="L40" s="5"/>
      <c r="M40" s="7"/>
      <c r="N40" s="5"/>
      <c r="O40" s="9"/>
      <c r="P40" s="5"/>
      <c r="Q40" s="5"/>
    </row>
    <row r="41">
      <c r="A41" s="4"/>
      <c r="B41" s="5"/>
      <c r="C41" s="5"/>
      <c r="D41" s="5"/>
      <c r="E41" s="5"/>
      <c r="F41" s="12"/>
      <c r="G41" s="5"/>
      <c r="H41" s="7"/>
      <c r="I41" s="8"/>
      <c r="J41" s="5"/>
      <c r="K41" s="5"/>
      <c r="L41" s="5"/>
      <c r="M41" s="7"/>
      <c r="N41" s="5"/>
      <c r="O41" s="9"/>
      <c r="P41" s="5"/>
      <c r="Q41" s="5"/>
    </row>
    <row r="42">
      <c r="A42" s="4"/>
      <c r="B42" s="5"/>
      <c r="C42" s="5"/>
      <c r="D42" s="5"/>
      <c r="E42" s="5"/>
      <c r="F42" s="12"/>
      <c r="G42" s="5"/>
      <c r="H42" s="7"/>
      <c r="I42" s="8"/>
      <c r="J42" s="5"/>
      <c r="K42" s="5"/>
      <c r="L42" s="5"/>
      <c r="M42" s="7"/>
      <c r="N42" s="5"/>
      <c r="O42" s="9"/>
      <c r="P42" s="5"/>
      <c r="Q42" s="5"/>
    </row>
    <row r="43">
      <c r="A43" s="4"/>
      <c r="B43" s="5"/>
      <c r="C43" s="5"/>
      <c r="D43" s="5"/>
      <c r="E43" s="5"/>
      <c r="F43" s="12"/>
      <c r="G43" s="5"/>
      <c r="H43" s="7"/>
      <c r="I43" s="8"/>
      <c r="J43" s="5"/>
      <c r="K43" s="5"/>
      <c r="L43" s="5"/>
      <c r="M43" s="7"/>
      <c r="N43" s="5"/>
      <c r="O43" s="9"/>
      <c r="P43" s="5"/>
      <c r="Q43" s="5"/>
    </row>
    <row r="44">
      <c r="A44" s="4"/>
      <c r="B44" s="5"/>
      <c r="C44" s="5"/>
      <c r="D44" s="5"/>
      <c r="E44" s="5"/>
      <c r="F44" s="12"/>
      <c r="G44" s="5"/>
      <c r="H44" s="7"/>
      <c r="I44" s="8"/>
      <c r="J44" s="5"/>
      <c r="K44" s="5"/>
      <c r="L44" s="5"/>
      <c r="M44" s="7"/>
      <c r="N44" s="5"/>
      <c r="O44" s="9"/>
      <c r="P44" s="5"/>
      <c r="Q44" s="5"/>
    </row>
    <row r="45">
      <c r="A45" s="4"/>
      <c r="B45" s="5"/>
      <c r="C45" s="5"/>
      <c r="D45" s="5"/>
      <c r="E45" s="5"/>
      <c r="F45" s="12"/>
      <c r="G45" s="5"/>
      <c r="H45" s="7"/>
      <c r="I45" s="8"/>
      <c r="J45" s="5"/>
      <c r="K45" s="5"/>
      <c r="L45" s="5"/>
      <c r="M45" s="7"/>
      <c r="N45" s="5"/>
      <c r="O45" s="9"/>
      <c r="P45" s="5"/>
      <c r="Q45" s="5"/>
    </row>
    <row r="46">
      <c r="A46" s="4"/>
      <c r="B46" s="5"/>
      <c r="C46" s="5"/>
      <c r="D46" s="5"/>
      <c r="E46" s="5"/>
      <c r="F46" s="12"/>
      <c r="G46" s="5"/>
      <c r="H46" s="7"/>
      <c r="I46" s="8"/>
      <c r="J46" s="5"/>
      <c r="K46" s="5"/>
      <c r="L46" s="5"/>
      <c r="M46" s="7"/>
      <c r="N46" s="5"/>
      <c r="O46" s="9"/>
      <c r="P46" s="5"/>
      <c r="Q46" s="5"/>
    </row>
    <row r="47">
      <c r="A47" s="4"/>
      <c r="B47" s="5"/>
      <c r="C47" s="5"/>
      <c r="D47" s="5"/>
      <c r="E47" s="5"/>
      <c r="F47" s="12"/>
      <c r="G47" s="5"/>
      <c r="H47" s="7"/>
      <c r="I47" s="8"/>
      <c r="J47" s="5"/>
      <c r="K47" s="5"/>
      <c r="L47" s="5"/>
      <c r="M47" s="7"/>
      <c r="N47" s="5"/>
      <c r="O47" s="9"/>
      <c r="P47" s="5"/>
      <c r="Q47" s="5"/>
    </row>
    <row r="48">
      <c r="A48" s="4"/>
      <c r="B48" s="5"/>
      <c r="C48" s="5"/>
      <c r="D48" s="5"/>
      <c r="E48" s="5"/>
      <c r="F48" s="12"/>
      <c r="G48" s="5"/>
      <c r="H48" s="7"/>
      <c r="I48" s="8"/>
      <c r="J48" s="5"/>
      <c r="K48" s="5"/>
      <c r="L48" s="5"/>
      <c r="M48" s="7"/>
      <c r="N48" s="5"/>
      <c r="O48" s="9"/>
      <c r="P48" s="5"/>
      <c r="Q48" s="5"/>
    </row>
    <row r="49">
      <c r="A49" s="4"/>
      <c r="B49" s="5"/>
      <c r="C49" s="5"/>
      <c r="D49" s="5"/>
      <c r="E49" s="5"/>
      <c r="F49" s="12"/>
      <c r="G49" s="5"/>
      <c r="H49" s="7"/>
      <c r="I49" s="8"/>
      <c r="J49" s="5"/>
      <c r="K49" s="5"/>
      <c r="L49" s="5"/>
      <c r="M49" s="7"/>
      <c r="N49" s="5"/>
      <c r="O49" s="9"/>
      <c r="P49" s="5"/>
      <c r="Q49" s="5"/>
    </row>
    <row r="50">
      <c r="A50" s="4"/>
      <c r="B50" s="5"/>
      <c r="C50" s="5"/>
      <c r="D50" s="5"/>
      <c r="E50" s="5"/>
      <c r="F50" s="12"/>
      <c r="G50" s="5"/>
      <c r="H50" s="7"/>
      <c r="I50" s="8"/>
      <c r="J50" s="5"/>
      <c r="K50" s="5"/>
      <c r="L50" s="5"/>
      <c r="M50" s="7"/>
      <c r="N50" s="5"/>
      <c r="O50" s="9"/>
      <c r="P50" s="5"/>
      <c r="Q50" s="5"/>
    </row>
    <row r="51">
      <c r="A51" s="8"/>
      <c r="B51" s="5"/>
      <c r="C51" s="5"/>
      <c r="D51" s="5"/>
      <c r="E51" s="5"/>
      <c r="F51" s="12"/>
      <c r="G51" s="5"/>
      <c r="H51" s="7"/>
      <c r="I51" s="8"/>
      <c r="J51" s="5"/>
      <c r="K51" s="5"/>
      <c r="L51" s="5"/>
      <c r="M51" s="7"/>
      <c r="N51" s="5"/>
      <c r="O51" s="9"/>
      <c r="P51" s="5"/>
      <c r="Q51" s="5"/>
    </row>
    <row r="52">
      <c r="A52" s="4"/>
      <c r="B52" s="5"/>
      <c r="C52" s="5"/>
      <c r="D52" s="5"/>
      <c r="E52" s="5"/>
      <c r="F52" s="12"/>
      <c r="G52" s="5"/>
      <c r="H52" s="7"/>
      <c r="I52" s="8"/>
      <c r="J52" s="5"/>
      <c r="K52" s="5"/>
      <c r="L52" s="5"/>
      <c r="M52" s="7"/>
      <c r="N52" s="5"/>
      <c r="O52" s="9"/>
      <c r="P52" s="5"/>
      <c r="Q52" s="5"/>
    </row>
    <row r="53">
      <c r="A53" s="4"/>
      <c r="B53" s="5"/>
      <c r="C53" s="5"/>
      <c r="D53" s="5"/>
      <c r="E53" s="5"/>
      <c r="F53" s="12"/>
      <c r="G53" s="5"/>
      <c r="H53" s="7"/>
      <c r="I53" s="8"/>
      <c r="J53" s="5"/>
      <c r="K53" s="5"/>
      <c r="L53" s="5"/>
      <c r="M53" s="7"/>
      <c r="N53" s="5"/>
      <c r="O53" s="9"/>
      <c r="P53" s="5"/>
      <c r="Q53" s="5"/>
    </row>
    <row r="54">
      <c r="A54" s="4"/>
      <c r="B54" s="5"/>
      <c r="C54" s="5"/>
      <c r="D54" s="5"/>
      <c r="E54" s="5"/>
      <c r="F54" s="12"/>
      <c r="G54" s="5"/>
      <c r="H54" s="7"/>
      <c r="I54" s="8"/>
      <c r="J54" s="5"/>
      <c r="K54" s="5"/>
      <c r="L54" s="5"/>
      <c r="M54" s="7"/>
      <c r="N54" s="5"/>
      <c r="O54" s="9"/>
      <c r="P54" s="5"/>
      <c r="Q54" s="5"/>
    </row>
    <row r="55">
      <c r="A55" s="4"/>
      <c r="B55" s="5"/>
      <c r="C55" s="5"/>
      <c r="D55" s="5"/>
      <c r="E55" s="5"/>
      <c r="F55" s="12"/>
      <c r="G55" s="5"/>
      <c r="H55" s="7"/>
      <c r="I55" s="8"/>
      <c r="J55" s="5"/>
      <c r="K55" s="5"/>
      <c r="L55" s="5"/>
      <c r="M55" s="7"/>
      <c r="N55" s="5"/>
      <c r="O55" s="9"/>
      <c r="P55" s="5"/>
      <c r="Q55" s="5"/>
    </row>
    <row r="56">
      <c r="A56" s="4"/>
      <c r="B56" s="5"/>
      <c r="C56" s="5"/>
      <c r="D56" s="5"/>
      <c r="E56" s="5"/>
      <c r="F56" s="12"/>
      <c r="G56" s="5"/>
      <c r="H56" s="7"/>
      <c r="I56" s="8"/>
      <c r="J56" s="5"/>
      <c r="K56" s="5"/>
      <c r="L56" s="5"/>
      <c r="M56" s="7"/>
      <c r="N56" s="5"/>
      <c r="O56" s="9"/>
      <c r="P56" s="5"/>
      <c r="Q56" s="5"/>
    </row>
    <row r="57">
      <c r="A57" s="4"/>
      <c r="B57" s="5"/>
      <c r="C57" s="5"/>
      <c r="D57" s="5"/>
      <c r="E57" s="5"/>
      <c r="F57" s="12"/>
      <c r="G57" s="5"/>
      <c r="H57" s="7"/>
      <c r="I57" s="8"/>
      <c r="J57" s="5"/>
      <c r="K57" s="5"/>
      <c r="L57" s="5"/>
      <c r="M57" s="7"/>
      <c r="N57" s="5"/>
      <c r="O57" s="9"/>
      <c r="P57" s="5"/>
      <c r="Q57" s="5"/>
    </row>
    <row r="58">
      <c r="A58" s="4"/>
      <c r="B58" s="5"/>
      <c r="C58" s="5"/>
      <c r="D58" s="5"/>
      <c r="E58" s="5"/>
      <c r="F58" s="12"/>
      <c r="G58" s="5"/>
      <c r="H58" s="7"/>
      <c r="I58" s="8"/>
      <c r="J58" s="5"/>
      <c r="K58" s="5"/>
      <c r="L58" s="5"/>
      <c r="M58" s="7"/>
      <c r="N58" s="5"/>
      <c r="O58" s="9"/>
      <c r="P58" s="5"/>
      <c r="Q58" s="5"/>
    </row>
    <row r="59">
      <c r="A59" s="4"/>
      <c r="B59" s="5"/>
      <c r="C59" s="5"/>
      <c r="D59" s="5"/>
      <c r="E59" s="5"/>
      <c r="F59" s="12"/>
      <c r="G59" s="5"/>
      <c r="H59" s="7"/>
      <c r="I59" s="8"/>
      <c r="J59" s="5"/>
      <c r="K59" s="5"/>
      <c r="L59" s="5"/>
      <c r="M59" s="7"/>
      <c r="N59" s="5"/>
      <c r="O59" s="9"/>
      <c r="P59" s="5"/>
      <c r="Q59" s="5"/>
    </row>
    <row r="60">
      <c r="A60" s="4"/>
      <c r="B60" s="5"/>
      <c r="C60" s="5"/>
      <c r="D60" s="5"/>
      <c r="E60" s="5"/>
      <c r="F60" s="12"/>
      <c r="G60" s="5"/>
      <c r="H60" s="7"/>
      <c r="I60" s="8"/>
      <c r="J60" s="5"/>
      <c r="K60" s="5"/>
      <c r="L60" s="5"/>
      <c r="M60" s="7"/>
      <c r="N60" s="5"/>
      <c r="O60" s="9"/>
      <c r="P60" s="5"/>
      <c r="Q60" s="5"/>
    </row>
    <row r="61">
      <c r="A61" s="4"/>
      <c r="B61" s="5"/>
      <c r="C61" s="5"/>
      <c r="D61" s="5"/>
      <c r="E61" s="5"/>
      <c r="F61" s="12"/>
      <c r="G61" s="5"/>
      <c r="H61" s="7"/>
      <c r="I61" s="8"/>
      <c r="J61" s="5"/>
      <c r="K61" s="5"/>
      <c r="L61" s="5"/>
      <c r="M61" s="7"/>
      <c r="N61" s="5"/>
      <c r="O61" s="9"/>
      <c r="P61" s="5"/>
      <c r="Q61" s="5"/>
    </row>
    <row r="62">
      <c r="A62" s="4"/>
      <c r="B62" s="5"/>
      <c r="C62" s="5"/>
      <c r="D62" s="5"/>
      <c r="E62" s="5"/>
      <c r="F62" s="12"/>
      <c r="G62" s="5"/>
      <c r="H62" s="7"/>
      <c r="I62" s="8"/>
      <c r="J62" s="5"/>
      <c r="K62" s="5"/>
      <c r="L62" s="5"/>
      <c r="M62" s="7"/>
      <c r="N62" s="5"/>
      <c r="O62" s="9"/>
      <c r="P62" s="5"/>
      <c r="Q62" s="5"/>
    </row>
    <row r="63">
      <c r="A63" s="4"/>
      <c r="B63" s="5"/>
      <c r="C63" s="5"/>
      <c r="D63" s="5"/>
      <c r="E63" s="5"/>
      <c r="F63" s="12"/>
      <c r="G63" s="5"/>
      <c r="H63" s="7"/>
      <c r="I63" s="8"/>
      <c r="J63" s="5"/>
      <c r="K63" s="5"/>
      <c r="L63" s="5"/>
      <c r="M63" s="7"/>
      <c r="N63" s="5"/>
      <c r="O63" s="9"/>
      <c r="P63" s="5"/>
      <c r="Q63" s="5"/>
    </row>
    <row r="64">
      <c r="A64" s="4"/>
      <c r="B64" s="5"/>
      <c r="C64" s="5"/>
      <c r="D64" s="5"/>
      <c r="E64" s="5"/>
      <c r="F64" s="12"/>
      <c r="G64" s="5"/>
      <c r="H64" s="7"/>
      <c r="I64" s="8"/>
      <c r="J64" s="5"/>
      <c r="K64" s="5"/>
      <c r="L64" s="5"/>
      <c r="M64" s="7"/>
      <c r="N64" s="5"/>
      <c r="O64" s="9"/>
      <c r="P64" s="5"/>
      <c r="Q64" s="5"/>
    </row>
    <row r="65">
      <c r="A65" s="4"/>
      <c r="B65" s="5"/>
      <c r="C65" s="5"/>
      <c r="D65" s="5"/>
      <c r="E65" s="5"/>
      <c r="F65" s="12"/>
      <c r="G65" s="5"/>
      <c r="H65" s="7"/>
      <c r="I65" s="8"/>
      <c r="J65" s="5"/>
      <c r="K65" s="5"/>
      <c r="L65" s="5"/>
      <c r="M65" s="7"/>
      <c r="N65" s="5"/>
      <c r="O65" s="9"/>
      <c r="P65" s="5"/>
      <c r="Q65" s="5"/>
    </row>
    <row r="66">
      <c r="A66" s="4"/>
      <c r="B66" s="5"/>
      <c r="C66" s="5"/>
      <c r="D66" s="5"/>
      <c r="E66" s="5"/>
      <c r="F66" s="12"/>
      <c r="G66" s="5"/>
      <c r="H66" s="7"/>
      <c r="I66" s="8"/>
      <c r="J66" s="5"/>
      <c r="K66" s="5"/>
      <c r="L66" s="5"/>
      <c r="M66" s="7"/>
      <c r="N66" s="5"/>
      <c r="O66" s="9"/>
      <c r="P66" s="5"/>
      <c r="Q66" s="5"/>
    </row>
    <row r="67">
      <c r="A67" s="4"/>
      <c r="B67" s="5"/>
      <c r="C67" s="5"/>
      <c r="D67" s="5"/>
      <c r="E67" s="5"/>
      <c r="F67" s="12"/>
      <c r="G67" s="5"/>
      <c r="H67" s="7"/>
      <c r="I67" s="8"/>
      <c r="J67" s="5"/>
      <c r="K67" s="5"/>
      <c r="L67" s="5"/>
      <c r="M67" s="7"/>
      <c r="N67" s="5"/>
      <c r="O67" s="9"/>
      <c r="P67" s="5"/>
      <c r="Q67" s="5"/>
    </row>
    <row r="68">
      <c r="A68" s="4"/>
      <c r="B68" s="5"/>
      <c r="C68" s="5"/>
      <c r="D68" s="5"/>
      <c r="E68" s="5"/>
      <c r="F68" s="12"/>
      <c r="G68" s="5"/>
      <c r="H68" s="7"/>
      <c r="I68" s="8"/>
      <c r="J68" s="5"/>
      <c r="K68" s="5"/>
      <c r="L68" s="5"/>
      <c r="M68" s="7"/>
      <c r="N68" s="5"/>
      <c r="O68" s="9"/>
      <c r="P68" s="5"/>
      <c r="Q68" s="5"/>
    </row>
    <row r="69">
      <c r="A69" s="4"/>
      <c r="B69" s="5"/>
      <c r="C69" s="5"/>
      <c r="D69" s="5"/>
      <c r="E69" s="5"/>
      <c r="F69" s="12"/>
      <c r="G69" s="5"/>
      <c r="H69" s="7"/>
      <c r="I69" s="8"/>
      <c r="J69" s="5"/>
      <c r="K69" s="5"/>
      <c r="L69" s="5"/>
      <c r="M69" s="7"/>
      <c r="N69" s="5"/>
      <c r="O69" s="9"/>
      <c r="P69" s="5"/>
      <c r="Q69" s="5"/>
    </row>
    <row r="70">
      <c r="A70" s="4"/>
      <c r="B70" s="5"/>
      <c r="C70" s="5"/>
      <c r="D70" s="5"/>
      <c r="E70" s="5"/>
      <c r="F70" s="12"/>
      <c r="G70" s="5"/>
      <c r="H70" s="7"/>
      <c r="I70" s="8"/>
      <c r="J70" s="5"/>
      <c r="K70" s="5"/>
      <c r="L70" s="5"/>
      <c r="M70" s="7"/>
      <c r="N70" s="5"/>
      <c r="O70" s="9"/>
      <c r="P70" s="5"/>
      <c r="Q70" s="5"/>
    </row>
    <row r="71">
      <c r="A71" s="4"/>
      <c r="B71" s="5"/>
      <c r="C71" s="5"/>
      <c r="D71" s="5"/>
      <c r="E71" s="5"/>
      <c r="F71" s="12"/>
      <c r="G71" s="5"/>
      <c r="H71" s="7"/>
      <c r="I71" s="8"/>
      <c r="J71" s="5"/>
      <c r="K71" s="5"/>
      <c r="L71" s="5"/>
      <c r="M71" s="7"/>
      <c r="N71" s="5"/>
      <c r="O71" s="9"/>
      <c r="P71" s="5"/>
      <c r="Q71" s="5"/>
    </row>
    <row r="72">
      <c r="A72" s="4"/>
      <c r="B72" s="5"/>
      <c r="C72" s="5"/>
      <c r="D72" s="5"/>
      <c r="E72" s="5"/>
      <c r="F72" s="12"/>
      <c r="G72" s="5"/>
      <c r="H72" s="7"/>
      <c r="I72" s="8"/>
      <c r="J72" s="5"/>
      <c r="K72" s="5"/>
      <c r="L72" s="5"/>
      <c r="M72" s="7"/>
      <c r="N72" s="5"/>
      <c r="O72" s="9"/>
      <c r="P72" s="5"/>
      <c r="Q72" s="5"/>
    </row>
    <row r="73">
      <c r="A73" s="4"/>
      <c r="B73" s="5"/>
      <c r="C73" s="5"/>
      <c r="D73" s="5"/>
      <c r="E73" s="5"/>
      <c r="F73" s="12"/>
      <c r="G73" s="5"/>
      <c r="H73" s="7"/>
      <c r="I73" s="8"/>
      <c r="J73" s="5"/>
      <c r="K73" s="5"/>
      <c r="L73" s="5"/>
      <c r="M73" s="7"/>
      <c r="N73" s="5"/>
      <c r="O73" s="9"/>
      <c r="P73" s="5"/>
      <c r="Q73" s="5"/>
    </row>
    <row r="74">
      <c r="A74" s="4"/>
      <c r="B74" s="5"/>
      <c r="C74" s="5"/>
      <c r="D74" s="5"/>
      <c r="E74" s="5"/>
      <c r="F74" s="12"/>
      <c r="G74" s="5"/>
      <c r="H74" s="7"/>
      <c r="I74" s="8"/>
      <c r="J74" s="5"/>
      <c r="K74" s="5"/>
      <c r="L74" s="5"/>
      <c r="M74" s="7"/>
      <c r="N74" s="5"/>
      <c r="O74" s="9"/>
      <c r="P74" s="5"/>
      <c r="Q74" s="5"/>
    </row>
    <row r="75">
      <c r="A75" s="4"/>
      <c r="B75" s="5"/>
      <c r="C75" s="5"/>
      <c r="D75" s="5"/>
      <c r="E75" s="5"/>
      <c r="F75" s="12"/>
      <c r="G75" s="5"/>
      <c r="H75" s="7"/>
      <c r="I75" s="8"/>
      <c r="J75" s="5"/>
      <c r="K75" s="5"/>
      <c r="L75" s="5"/>
      <c r="M75" s="7"/>
      <c r="N75" s="5"/>
      <c r="O75" s="9"/>
      <c r="P75" s="5"/>
      <c r="Q75" s="5"/>
    </row>
    <row r="76">
      <c r="A76" s="4"/>
      <c r="B76" s="5"/>
      <c r="C76" s="5"/>
      <c r="D76" s="5"/>
      <c r="E76" s="5"/>
      <c r="F76" s="12"/>
      <c r="G76" s="5"/>
      <c r="H76" s="7"/>
      <c r="I76" s="8"/>
      <c r="J76" s="5"/>
      <c r="K76" s="5"/>
      <c r="L76" s="5"/>
      <c r="M76" s="7"/>
      <c r="N76" s="5"/>
      <c r="O76" s="9"/>
      <c r="P76" s="5"/>
      <c r="Q76" s="5"/>
    </row>
    <row r="77">
      <c r="A77" s="8"/>
      <c r="B77" s="5"/>
      <c r="C77" s="5"/>
      <c r="D77" s="5"/>
      <c r="E77" s="5"/>
      <c r="F77" s="12"/>
      <c r="G77" s="5"/>
      <c r="H77" s="7"/>
      <c r="I77" s="8"/>
      <c r="J77" s="5"/>
      <c r="K77" s="5"/>
      <c r="L77" s="5"/>
      <c r="M77" s="7"/>
      <c r="N77" s="5"/>
      <c r="O77" s="9"/>
      <c r="P77" s="5"/>
      <c r="Q77" s="5"/>
    </row>
    <row r="78">
      <c r="A78" s="4"/>
      <c r="B78" s="5"/>
      <c r="C78" s="5"/>
      <c r="D78" s="5"/>
      <c r="E78" s="5"/>
      <c r="F78" s="12"/>
      <c r="G78" s="5"/>
      <c r="H78" s="7"/>
      <c r="I78" s="8"/>
      <c r="J78" s="5"/>
      <c r="K78" s="5"/>
      <c r="L78" s="5"/>
      <c r="M78" s="7"/>
      <c r="N78" s="5"/>
      <c r="O78" s="9"/>
      <c r="P78" s="5"/>
      <c r="Q78" s="5"/>
    </row>
    <row r="79">
      <c r="A79" s="4"/>
      <c r="B79" s="5"/>
      <c r="C79" s="5"/>
      <c r="D79" s="5"/>
      <c r="E79" s="5"/>
      <c r="F79" s="12"/>
      <c r="G79" s="5"/>
      <c r="H79" s="7"/>
      <c r="I79" s="8"/>
      <c r="J79" s="5"/>
      <c r="K79" s="5"/>
      <c r="L79" s="5"/>
      <c r="M79" s="7"/>
      <c r="N79" s="5"/>
      <c r="O79" s="9"/>
      <c r="P79" s="5"/>
      <c r="Q79" s="5"/>
    </row>
    <row r="80">
      <c r="A80" s="4"/>
      <c r="B80" s="5"/>
      <c r="C80" s="5"/>
      <c r="D80" s="5"/>
      <c r="E80" s="5"/>
      <c r="F80" s="12"/>
      <c r="G80" s="5"/>
      <c r="H80" s="7"/>
      <c r="I80" s="8"/>
      <c r="J80" s="5"/>
      <c r="K80" s="5"/>
      <c r="L80" s="5"/>
      <c r="M80" s="7"/>
      <c r="N80" s="5"/>
      <c r="O80" s="9"/>
      <c r="P80" s="5"/>
      <c r="Q80" s="5"/>
    </row>
    <row r="81">
      <c r="A81" s="4"/>
      <c r="B81" s="5"/>
      <c r="C81" s="5"/>
      <c r="D81" s="5"/>
      <c r="E81" s="5"/>
      <c r="F81" s="12"/>
      <c r="G81" s="5"/>
      <c r="H81" s="7"/>
      <c r="I81" s="8"/>
      <c r="J81" s="5"/>
      <c r="K81" s="5"/>
      <c r="L81" s="5"/>
      <c r="M81" s="7"/>
      <c r="N81" s="5"/>
      <c r="O81" s="9"/>
      <c r="P81" s="5"/>
      <c r="Q81" s="5"/>
    </row>
    <row r="82">
      <c r="A82" s="4"/>
      <c r="B82" s="5"/>
      <c r="C82" s="5"/>
      <c r="D82" s="5"/>
      <c r="E82" s="5"/>
      <c r="F82" s="12"/>
      <c r="G82" s="5"/>
      <c r="H82" s="7"/>
      <c r="I82" s="8"/>
      <c r="J82" s="5"/>
      <c r="K82" s="5"/>
      <c r="L82" s="5"/>
      <c r="M82" s="7"/>
      <c r="N82" s="5"/>
      <c r="O82" s="9"/>
      <c r="P82" s="5"/>
      <c r="Q82" s="5"/>
    </row>
    <row r="83">
      <c r="A83" s="4"/>
      <c r="B83" s="5"/>
      <c r="C83" s="5"/>
      <c r="D83" s="5"/>
      <c r="E83" s="5"/>
      <c r="F83" s="12"/>
      <c r="G83" s="5"/>
      <c r="H83" s="7"/>
      <c r="I83" s="8"/>
      <c r="J83" s="5"/>
      <c r="K83" s="5"/>
      <c r="L83" s="5"/>
      <c r="M83" s="7"/>
      <c r="N83" s="5"/>
      <c r="O83" s="9"/>
      <c r="P83" s="5"/>
      <c r="Q83" s="5"/>
    </row>
    <row r="84">
      <c r="A84" s="4"/>
      <c r="B84" s="5"/>
      <c r="C84" s="5"/>
      <c r="D84" s="5"/>
      <c r="E84" s="5"/>
      <c r="F84" s="12"/>
      <c r="G84" s="5"/>
      <c r="H84" s="7"/>
      <c r="I84" s="8"/>
      <c r="J84" s="5"/>
      <c r="K84" s="5"/>
      <c r="L84" s="5"/>
      <c r="M84" s="7"/>
      <c r="N84" s="5"/>
      <c r="O84" s="9"/>
      <c r="P84" s="5"/>
      <c r="Q84" s="5"/>
    </row>
    <row r="85">
      <c r="A85" s="4"/>
      <c r="B85" s="5"/>
      <c r="C85" s="5"/>
      <c r="D85" s="5"/>
      <c r="E85" s="5"/>
      <c r="F85" s="12"/>
      <c r="G85" s="5"/>
      <c r="H85" s="7"/>
      <c r="I85" s="8"/>
      <c r="J85" s="5"/>
      <c r="K85" s="5"/>
      <c r="L85" s="5"/>
      <c r="M85" s="7"/>
      <c r="N85" s="5"/>
      <c r="O85" s="9"/>
      <c r="P85" s="5"/>
      <c r="Q85" s="5"/>
    </row>
    <row r="86">
      <c r="A86" s="4"/>
      <c r="B86" s="5"/>
      <c r="C86" s="5"/>
      <c r="D86" s="5"/>
      <c r="E86" s="5"/>
      <c r="F86" s="12"/>
      <c r="G86" s="5"/>
      <c r="H86" s="7"/>
      <c r="I86" s="8"/>
      <c r="J86" s="5"/>
      <c r="K86" s="5"/>
      <c r="L86" s="5"/>
      <c r="M86" s="7"/>
      <c r="N86" s="5"/>
      <c r="O86" s="9"/>
      <c r="P86" s="5"/>
      <c r="Q86" s="5"/>
    </row>
    <row r="87">
      <c r="A87" s="4"/>
      <c r="B87" s="5"/>
      <c r="C87" s="5"/>
      <c r="D87" s="5"/>
      <c r="E87" s="5"/>
      <c r="F87" s="12"/>
      <c r="G87" s="5"/>
      <c r="H87" s="7"/>
      <c r="I87" s="8"/>
      <c r="J87" s="5"/>
      <c r="K87" s="5"/>
      <c r="L87" s="5"/>
      <c r="M87" s="7"/>
      <c r="N87" s="5"/>
      <c r="O87" s="9"/>
      <c r="P87" s="5"/>
      <c r="Q87" s="5"/>
    </row>
    <row r="88">
      <c r="A88" s="4"/>
      <c r="B88" s="5"/>
      <c r="C88" s="5"/>
      <c r="D88" s="5"/>
      <c r="E88" s="5"/>
      <c r="F88" s="12"/>
      <c r="G88" s="5"/>
      <c r="H88" s="7"/>
      <c r="I88" s="8"/>
      <c r="J88" s="5"/>
      <c r="K88" s="5"/>
      <c r="L88" s="5"/>
      <c r="M88" s="7"/>
      <c r="N88" s="5"/>
      <c r="O88" s="9"/>
      <c r="P88" s="5"/>
      <c r="Q88" s="5"/>
    </row>
    <row r="89">
      <c r="A89" s="4"/>
      <c r="B89" s="5"/>
      <c r="C89" s="5"/>
      <c r="D89" s="5"/>
      <c r="E89" s="5"/>
      <c r="F89" s="12"/>
      <c r="G89" s="5"/>
      <c r="H89" s="7"/>
      <c r="I89" s="8"/>
      <c r="J89" s="5"/>
      <c r="K89" s="5"/>
      <c r="L89" s="5"/>
      <c r="M89" s="7"/>
      <c r="N89" s="5"/>
      <c r="O89" s="9"/>
      <c r="P89" s="5"/>
      <c r="Q89" s="5"/>
    </row>
    <row r="90">
      <c r="A90" s="4"/>
      <c r="B90" s="5"/>
      <c r="C90" s="5"/>
      <c r="D90" s="5"/>
      <c r="E90" s="5"/>
      <c r="F90" s="12"/>
      <c r="G90" s="5"/>
      <c r="H90" s="7"/>
      <c r="I90" s="8"/>
      <c r="J90" s="5"/>
      <c r="K90" s="5"/>
      <c r="L90" s="5"/>
      <c r="M90" s="7"/>
      <c r="N90" s="5"/>
      <c r="O90" s="9"/>
      <c r="P90" s="5"/>
      <c r="Q90" s="5"/>
    </row>
    <row r="91">
      <c r="A91" s="4"/>
      <c r="B91" s="5"/>
      <c r="C91" s="5"/>
      <c r="D91" s="5"/>
      <c r="E91" s="5"/>
      <c r="F91" s="12"/>
      <c r="G91" s="5"/>
      <c r="H91" s="7"/>
      <c r="I91" s="8"/>
      <c r="J91" s="5"/>
      <c r="K91" s="5"/>
      <c r="L91" s="5"/>
      <c r="M91" s="7"/>
      <c r="N91" s="5"/>
      <c r="O91" s="9"/>
      <c r="P91" s="5"/>
      <c r="Q91" s="5"/>
    </row>
    <row r="92">
      <c r="A92" s="4"/>
      <c r="B92" s="5"/>
      <c r="C92" s="5"/>
      <c r="D92" s="5"/>
      <c r="E92" s="5"/>
      <c r="F92" s="12"/>
      <c r="G92" s="5"/>
      <c r="H92" s="7"/>
      <c r="I92" s="8"/>
      <c r="J92" s="5"/>
      <c r="K92" s="5"/>
      <c r="L92" s="5"/>
      <c r="M92" s="7"/>
      <c r="N92" s="5"/>
      <c r="O92" s="9"/>
      <c r="P92" s="5"/>
      <c r="Q92" s="5"/>
    </row>
  </sheetData>
  <hyperlinks>
    <hyperlink r:id="rId1" ref="F2"/>
    <hyperlink r:id="rId2" ref="T2"/>
    <hyperlink r:id="rId3" ref="F3"/>
    <hyperlink r:id="rId4" ref="F4"/>
    <hyperlink r:id="rId5" ref="F5"/>
    <hyperlink r:id="rId6" ref="F6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</cols>
  <sheetData>
    <row r="1">
      <c r="A1" s="14"/>
      <c r="B1" s="15" t="s">
        <v>737</v>
      </c>
      <c r="C1" s="15" t="s">
        <v>738</v>
      </c>
      <c r="D1" s="15" t="s">
        <v>739</v>
      </c>
      <c r="E1" s="15" t="s">
        <v>740</v>
      </c>
      <c r="F1" s="15" t="s">
        <v>741</v>
      </c>
      <c r="G1" s="15" t="s">
        <v>742</v>
      </c>
      <c r="H1" s="15" t="s">
        <v>743</v>
      </c>
      <c r="I1" s="15" t="s">
        <v>744</v>
      </c>
      <c r="J1" s="15" t="s">
        <v>745</v>
      </c>
      <c r="K1" s="15" t="s">
        <v>746</v>
      </c>
      <c r="L1" s="15" t="s">
        <v>747</v>
      </c>
      <c r="M1" s="15" t="s">
        <v>748</v>
      </c>
      <c r="N1" s="15" t="s">
        <v>749</v>
      </c>
      <c r="O1" s="15" t="s">
        <v>750</v>
      </c>
      <c r="P1" s="15" t="s">
        <v>751</v>
      </c>
      <c r="Q1" s="15" t="s">
        <v>752</v>
      </c>
      <c r="R1" s="15" t="s">
        <v>753</v>
      </c>
      <c r="S1" s="15" t="s">
        <v>754</v>
      </c>
    </row>
    <row r="2">
      <c r="A2" s="16">
        <v>0.0</v>
      </c>
      <c r="B2" s="17" t="s">
        <v>755</v>
      </c>
      <c r="C2" s="17" t="s">
        <v>756</v>
      </c>
      <c r="D2" s="17">
        <v>0.00268159029963856</v>
      </c>
      <c r="E2" s="17">
        <v>0.00478022618631223</v>
      </c>
      <c r="F2" s="17">
        <v>1.87263145458891E-4</v>
      </c>
      <c r="G2" s="17">
        <v>0.560975609756097</v>
      </c>
      <c r="H2" s="17">
        <v>14.3199041811846</v>
      </c>
      <c r="I2" s="17">
        <v>0.00268069513944691</v>
      </c>
      <c r="J2" s="17">
        <v>2.27735123394645</v>
      </c>
      <c r="K2" s="17">
        <v>0.560788346610638</v>
      </c>
      <c r="L2" s="17">
        <v>0.00304676116041859</v>
      </c>
      <c r="M2" s="17">
        <v>0.0054311829381375</v>
      </c>
      <c r="N2" s="17">
        <v>0.0402702344681414</v>
      </c>
      <c r="O2" s="17">
        <v>0.560975609756097</v>
      </c>
      <c r="P2" s="17">
        <v>13.9302792041078</v>
      </c>
      <c r="Q2" s="17">
        <v>0.00282804615006043</v>
      </c>
      <c r="R2" s="17">
        <v>2.18605113260034</v>
      </c>
      <c r="S2" s="17">
        <v>0.520705375287956</v>
      </c>
    </row>
    <row r="3">
      <c r="A3" s="16">
        <v>1.0</v>
      </c>
      <c r="B3" s="17" t="s">
        <v>756</v>
      </c>
      <c r="C3" s="17" t="s">
        <v>757</v>
      </c>
      <c r="D3" s="17">
        <v>0.0251836306400839</v>
      </c>
      <c r="E3" s="17">
        <v>0.0391745365512416</v>
      </c>
      <c r="F3" s="17">
        <v>0.00768692375139789</v>
      </c>
      <c r="G3" s="17">
        <v>0.642857142857142</v>
      </c>
      <c r="H3" s="17">
        <v>3.27616501145912</v>
      </c>
      <c r="I3" s="17">
        <v>0.0248824989646182</v>
      </c>
      <c r="J3" s="17">
        <v>2.77847661349608</v>
      </c>
      <c r="K3" s="17">
        <v>0.635170219105745</v>
      </c>
      <c r="L3" s="17">
        <v>0.0254927416499468</v>
      </c>
      <c r="M3" s="17">
        <v>0.0396553758999173</v>
      </c>
      <c r="N3" s="17">
        <v>0.196978638026672</v>
      </c>
      <c r="O3" s="17">
        <v>0.642857142857142</v>
      </c>
      <c r="P3" s="17">
        <v>3.26358811948985</v>
      </c>
      <c r="Q3" s="17">
        <v>0.0176814797147454</v>
      </c>
      <c r="R3" s="17">
        <v>2.24845981352531</v>
      </c>
      <c r="S3" s="17">
        <v>0.44587850483047</v>
      </c>
    </row>
    <row r="4">
      <c r="A4" s="16">
        <v>2.0</v>
      </c>
      <c r="B4" s="17" t="s">
        <v>758</v>
      </c>
      <c r="C4" s="17" t="s">
        <v>759</v>
      </c>
      <c r="D4" s="17">
        <v>0.0114259064941121</v>
      </c>
      <c r="E4" s="17">
        <v>0.0225020403404453</v>
      </c>
      <c r="F4" s="17">
        <v>0.0067975733382411</v>
      </c>
      <c r="G4" s="17">
        <v>0.507772020725388</v>
      </c>
      <c r="H4" s="17">
        <v>1.68088020909365</v>
      </c>
      <c r="I4" s="17">
        <v>0.0112729472246379</v>
      </c>
      <c r="J4" s="17">
        <v>2.01776914048125</v>
      </c>
      <c r="K4" s="17">
        <v>0.500974447387147</v>
      </c>
      <c r="L4" s="17">
        <v>0.0116666666666666</v>
      </c>
      <c r="M4" s="17">
        <v>0.0229761904761904</v>
      </c>
      <c r="N4" s="17">
        <v>0.301428571428571</v>
      </c>
      <c r="O4" s="17">
        <v>0.507772020725388</v>
      </c>
      <c r="P4" s="17">
        <v>1.68455172752498</v>
      </c>
      <c r="Q4" s="17">
        <v>0.00474098639455782</v>
      </c>
      <c r="R4" s="17">
        <v>1.41920300751879</v>
      </c>
      <c r="S4" s="17">
        <v>0.206343449296817</v>
      </c>
    </row>
    <row r="5">
      <c r="A5" s="16">
        <v>3.0</v>
      </c>
      <c r="B5" s="17" t="s">
        <v>760</v>
      </c>
      <c r="C5" s="17" t="s">
        <v>759</v>
      </c>
      <c r="D5" s="17">
        <v>0.0102599976681823</v>
      </c>
      <c r="E5" s="17">
        <v>0.0115424973767051</v>
      </c>
      <c r="F5" s="17">
        <v>0.00348683813723248</v>
      </c>
      <c r="G5" s="17">
        <v>0.888888888888888</v>
      </c>
      <c r="H5" s="17">
        <v>2.94249324585102</v>
      </c>
      <c r="I5" s="17">
        <v>0.0102197508481303</v>
      </c>
      <c r="J5" s="17">
        <v>8.9686184567649</v>
      </c>
      <c r="K5" s="17">
        <v>0.885402050751656</v>
      </c>
      <c r="L5" s="17">
        <v>0.170873786407767</v>
      </c>
      <c r="M5" s="17">
        <v>0.192233009708737</v>
      </c>
      <c r="N5" s="17">
        <v>0.452427184466019</v>
      </c>
      <c r="O5" s="17">
        <v>0.888888888888888</v>
      </c>
      <c r="P5" s="17">
        <v>1.96471149260848</v>
      </c>
      <c r="Q5" s="17">
        <v>0.0839023470638137</v>
      </c>
      <c r="R5" s="17">
        <v>4.92815533980582</v>
      </c>
      <c r="S5" s="17">
        <v>0.436461704422869</v>
      </c>
    </row>
    <row r="6">
      <c r="A6" s="16">
        <v>4.0</v>
      </c>
      <c r="B6" s="17" t="s">
        <v>761</v>
      </c>
      <c r="C6" s="17" t="s">
        <v>757</v>
      </c>
      <c r="D6" s="17">
        <v>0.00104931794333683</v>
      </c>
      <c r="E6" s="17">
        <v>0.00186545412148769</v>
      </c>
      <c r="F6" s="17">
        <v>3.66043988161804E-4</v>
      </c>
      <c r="G6" s="17">
        <v>0.5625</v>
      </c>
      <c r="H6" s="17">
        <v>2.86664438502673</v>
      </c>
      <c r="I6" s="17">
        <v>0.00104863510507046</v>
      </c>
      <c r="J6" s="17">
        <v>2.28487761374134</v>
      </c>
      <c r="K6" s="17">
        <v>0.562133956011838</v>
      </c>
      <c r="L6" s="17">
        <v>0.00106219756874778</v>
      </c>
      <c r="M6" s="17">
        <v>0.00188835123332939</v>
      </c>
      <c r="N6" s="17">
        <v>0.196978638026672</v>
      </c>
      <c r="O6" s="17">
        <v>0.5625</v>
      </c>
      <c r="P6" s="17">
        <v>2.85563960455362</v>
      </c>
      <c r="Q6" s="17">
        <v>6.90232714690573E-4</v>
      </c>
      <c r="R6" s="17">
        <v>1.83547739879617</v>
      </c>
      <c r="S6" s="17">
        <v>0.365521361973327</v>
      </c>
    </row>
    <row r="7">
      <c r="A7" s="16">
        <v>5.0</v>
      </c>
      <c r="B7" s="17" t="s">
        <v>762</v>
      </c>
      <c r="C7" s="17" t="s">
        <v>756</v>
      </c>
      <c r="D7" s="17">
        <v>0.00104931794333683</v>
      </c>
      <c r="E7" s="17">
        <v>0.00151568147370875</v>
      </c>
      <c r="F7" s="18">
        <v>5.93761192918435E-5</v>
      </c>
      <c r="G7" s="17">
        <v>0.692307692307692</v>
      </c>
      <c r="H7" s="17">
        <v>17.6723901098901</v>
      </c>
      <c r="I7" s="17">
        <v>0.00104922794805283</v>
      </c>
      <c r="J7" s="17">
        <v>3.2498070276123</v>
      </c>
      <c r="K7" s="17">
        <v>0.6922483161884</v>
      </c>
      <c r="L7" s="17">
        <v>0.00119221088885945</v>
      </c>
      <c r="M7" s="17">
        <v>0.0017220823950192</v>
      </c>
      <c r="N7" s="17">
        <v>0.0402702344681414</v>
      </c>
      <c r="O7" s="17">
        <v>0.692307692307692</v>
      </c>
      <c r="P7" s="17">
        <v>17.1915485829959</v>
      </c>
      <c r="Q7" s="17">
        <v>0.00112286222703856</v>
      </c>
      <c r="R7" s="17">
        <v>3.11912173797854</v>
      </c>
      <c r="S7" s="17">
        <v>0.65203745783955</v>
      </c>
    </row>
    <row r="8">
      <c r="A8" s="16">
        <v>6.0</v>
      </c>
      <c r="B8" s="17" t="s">
        <v>763</v>
      </c>
      <c r="C8" s="17" t="s">
        <v>764</v>
      </c>
      <c r="D8" s="17">
        <v>0.00139909059111577</v>
      </c>
      <c r="E8" s="17">
        <v>0.00279818118223154</v>
      </c>
      <c r="F8" s="17">
        <v>7.09903492192591E-4</v>
      </c>
      <c r="G8" s="17">
        <v>0.5</v>
      </c>
      <c r="H8" s="17">
        <v>1.97081801470588</v>
      </c>
      <c r="I8" s="17">
        <v>0.00139710415252272</v>
      </c>
      <c r="J8" s="17">
        <v>1.99858019301561</v>
      </c>
      <c r="K8" s="17">
        <v>0.499290096507807</v>
      </c>
      <c r="L8" s="17">
        <v>0.00142738194361841</v>
      </c>
      <c r="M8" s="17">
        <v>0.00285476388723682</v>
      </c>
      <c r="N8" s="17">
        <v>0.25276555251576</v>
      </c>
      <c r="O8" s="17">
        <v>0.5</v>
      </c>
      <c r="P8" s="17">
        <v>1.97811764705882</v>
      </c>
      <c r="Q8" s="17">
        <v>7.05795972358956E-4</v>
      </c>
      <c r="R8" s="17">
        <v>1.49446889496847</v>
      </c>
      <c r="S8" s="17">
        <v>0.247234447484239</v>
      </c>
    </row>
    <row r="9">
      <c r="A9" s="16">
        <v>7.0</v>
      </c>
      <c r="B9" s="17" t="s">
        <v>765</v>
      </c>
      <c r="C9" s="17" t="s">
        <v>764</v>
      </c>
      <c r="D9" s="17">
        <v>0.00256499941704558</v>
      </c>
      <c r="E9" s="17">
        <v>0.00501340795149819</v>
      </c>
      <c r="F9" s="17">
        <v>0.00127191042351172</v>
      </c>
      <c r="G9" s="17">
        <v>0.511627906976744</v>
      </c>
      <c r="H9" s="17">
        <v>2.01665099179206</v>
      </c>
      <c r="I9" s="17">
        <v>0.00255862281121476</v>
      </c>
      <c r="J9" s="17">
        <v>2.045014659609</v>
      </c>
      <c r="K9" s="17">
        <v>0.510355996553232</v>
      </c>
      <c r="L9" s="17">
        <v>0.00260540028422548</v>
      </c>
      <c r="M9" s="17">
        <v>0.00509237328280435</v>
      </c>
      <c r="N9" s="17">
        <v>0.252842254855518</v>
      </c>
      <c r="O9" s="17">
        <v>0.511627906976744</v>
      </c>
      <c r="P9" s="17">
        <v>2.02350634497031</v>
      </c>
      <c r="Q9" s="17">
        <v>0.00131783314083523</v>
      </c>
      <c r="R9" s="17">
        <v>1.52989443053393</v>
      </c>
      <c r="S9" s="17">
        <v>0.258785652121225</v>
      </c>
    </row>
    <row r="10">
      <c r="A10" s="16">
        <v>8.0</v>
      </c>
      <c r="B10" s="17" t="s">
        <v>766</v>
      </c>
      <c r="C10" s="17" t="s">
        <v>757</v>
      </c>
      <c r="D10" s="17">
        <v>0.00256499941704558</v>
      </c>
      <c r="E10" s="17">
        <v>0.00349772647778943</v>
      </c>
      <c r="F10" s="17">
        <v>6.86332477803383E-4</v>
      </c>
      <c r="G10" s="17">
        <v>0.733333333333333</v>
      </c>
      <c r="H10" s="17">
        <v>3.73725490196078</v>
      </c>
      <c r="I10" s="17">
        <v>0.0025625988137654</v>
      </c>
      <c r="J10" s="17">
        <v>3.74742625320823</v>
      </c>
      <c r="K10" s="17">
        <v>0.732647000855529</v>
      </c>
      <c r="L10" s="17">
        <v>0.00261500059431831</v>
      </c>
      <c r="M10" s="17">
        <v>0.00356590990134315</v>
      </c>
      <c r="N10" s="17">
        <v>0.19446095328658</v>
      </c>
      <c r="O10" s="17">
        <v>0.733333333333333</v>
      </c>
      <c r="P10" s="17">
        <v>3.77110839445802</v>
      </c>
      <c r="Q10" s="17">
        <v>0.00192157035556907</v>
      </c>
      <c r="R10" s="17">
        <v>3.02077142517532</v>
      </c>
      <c r="S10" s="17">
        <v>0.538872380046753</v>
      </c>
    </row>
    <row r="11">
      <c r="A11" s="16">
        <v>9.0</v>
      </c>
      <c r="B11" s="17" t="s">
        <v>767</v>
      </c>
      <c r="C11" s="17" t="s">
        <v>759</v>
      </c>
      <c r="D11" s="17">
        <v>0.0136411332633788</v>
      </c>
      <c r="E11" s="17">
        <v>0.0219190859274804</v>
      </c>
      <c r="F11" s="17">
        <v>0.00662147040201724</v>
      </c>
      <c r="G11" s="17">
        <v>0.622340425531914</v>
      </c>
      <c r="H11" s="17">
        <v>2.06013656109117</v>
      </c>
      <c r="I11" s="17">
        <v>0.0134959966846707</v>
      </c>
      <c r="J11" s="17">
        <v>2.63035441640029</v>
      </c>
      <c r="K11" s="17">
        <v>0.615718955129897</v>
      </c>
      <c r="L11" s="17">
        <v>0.0138707765263781</v>
      </c>
      <c r="M11" s="17">
        <v>0.0222880853586247</v>
      </c>
      <c r="N11" s="17">
        <v>0.301600474214582</v>
      </c>
      <c r="O11" s="17">
        <v>0.622340425531914</v>
      </c>
      <c r="P11" s="17">
        <v>2.06345970493777</v>
      </c>
      <c r="Q11" s="17">
        <v>0.00714867941288186</v>
      </c>
      <c r="R11" s="17">
        <v>1.84928325137547</v>
      </c>
      <c r="S11" s="17">
        <v>0.320739951317332</v>
      </c>
    </row>
    <row r="12">
      <c r="A12" s="16">
        <v>10.0</v>
      </c>
      <c r="B12" s="17" t="s">
        <v>768</v>
      </c>
      <c r="C12" s="17" t="s">
        <v>759</v>
      </c>
      <c r="D12" s="17">
        <v>0.00163227235630173</v>
      </c>
      <c r="E12" s="17">
        <v>0.00279818118223155</v>
      </c>
      <c r="F12" s="17">
        <v>8.45294093874541E-4</v>
      </c>
      <c r="G12" s="17">
        <v>0.583333333333333</v>
      </c>
      <c r="H12" s="17">
        <v>1.93101119258973</v>
      </c>
      <c r="I12" s="17">
        <v>0.0016299070702748</v>
      </c>
      <c r="J12" s="17">
        <v>2.3979712941747</v>
      </c>
      <c r="K12" s="17">
        <v>0.582488039239458</v>
      </c>
      <c r="L12" s="17">
        <v>0.00167004652272456</v>
      </c>
      <c r="M12" s="17">
        <v>0.00286293689609924</v>
      </c>
      <c r="N12" s="17">
        <v>0.301681975426458</v>
      </c>
      <c r="O12" s="17">
        <v>0.583333333333333</v>
      </c>
      <c r="P12" s="17">
        <v>1.93360353235798</v>
      </c>
      <c r="Q12" s="17">
        <v>8.06350064388047E-4</v>
      </c>
      <c r="R12" s="17">
        <v>1.6759632589765</v>
      </c>
      <c r="S12" s="17">
        <v>0.281651357906875</v>
      </c>
    </row>
    <row r="13">
      <c r="A13" s="16">
        <v>11.0</v>
      </c>
      <c r="B13" s="17" t="s">
        <v>766</v>
      </c>
      <c r="C13" s="17" t="s">
        <v>759</v>
      </c>
      <c r="D13" s="17">
        <v>0.00221522676926664</v>
      </c>
      <c r="E13" s="17">
        <v>0.00349772647778943</v>
      </c>
      <c r="F13" s="17">
        <v>0.00105661761734317</v>
      </c>
      <c r="G13" s="17">
        <v>0.633333333333333</v>
      </c>
      <c r="H13" s="17">
        <v>2.09652643766885</v>
      </c>
      <c r="I13" s="17">
        <v>0.00221153100984956</v>
      </c>
      <c r="J13" s="17">
        <v>2.72439104286179</v>
      </c>
      <c r="K13" s="17">
        <v>0.63227671571599</v>
      </c>
      <c r="L13" s="17">
        <v>0.002258409604184</v>
      </c>
      <c r="M13" s="17">
        <v>0.00356590990134315</v>
      </c>
      <c r="N13" s="17">
        <v>0.301557113990253</v>
      </c>
      <c r="O13" s="17">
        <v>0.633333333333333</v>
      </c>
      <c r="P13" s="17">
        <v>2.10021022204703</v>
      </c>
      <c r="Q13" s="17">
        <v>0.00118308410558568</v>
      </c>
      <c r="R13" s="17">
        <v>1.90484423457203</v>
      </c>
      <c r="S13" s="17">
        <v>0.33177621934308</v>
      </c>
    </row>
    <row r="14">
      <c r="A14" s="16">
        <v>12.0</v>
      </c>
      <c r="B14" s="17" t="s">
        <v>769</v>
      </c>
      <c r="C14" s="17" t="s">
        <v>759</v>
      </c>
      <c r="D14" s="17">
        <v>0.00209863588667366</v>
      </c>
      <c r="E14" s="17">
        <v>0.00408068089075434</v>
      </c>
      <c r="F14" s="17">
        <v>0.00123272055356704</v>
      </c>
      <c r="G14" s="17">
        <v>0.514285714285714</v>
      </c>
      <c r="H14" s="17">
        <v>1.7024425208138</v>
      </c>
      <c r="I14" s="17">
        <v>0.00209360554746708</v>
      </c>
      <c r="J14" s="17">
        <v>2.05628557533089</v>
      </c>
      <c r="K14" s="17">
        <v>0.513052993732147</v>
      </c>
      <c r="L14" s="17">
        <v>0.00213093405942938</v>
      </c>
      <c r="M14" s="17">
        <v>0.00414348289333491</v>
      </c>
      <c r="N14" s="17">
        <v>0.30129039895821</v>
      </c>
      <c r="O14" s="17">
        <v>0.514285714285714</v>
      </c>
      <c r="P14" s="17">
        <v>1.706943586865</v>
      </c>
      <c r="Q14" s="17">
        <v>8.82542445419989E-4</v>
      </c>
      <c r="R14" s="17">
        <v>1.43851976685074</v>
      </c>
      <c r="S14" s="17">
        <v>0.212995315327504</v>
      </c>
    </row>
    <row r="15">
      <c r="A15" s="16">
        <v>13.0</v>
      </c>
      <c r="B15" s="17" t="s">
        <v>770</v>
      </c>
      <c r="C15" s="17" t="s">
        <v>771</v>
      </c>
      <c r="D15" s="17">
        <v>0.0024484085344526</v>
      </c>
      <c r="E15" s="17">
        <v>0.00419727177334732</v>
      </c>
      <c r="F15" s="17">
        <v>8.41705427323935E-4</v>
      </c>
      <c r="G15" s="17">
        <v>0.583333333333333</v>
      </c>
      <c r="H15" s="17">
        <v>2.90886627906976</v>
      </c>
      <c r="I15" s="17">
        <v>0.00244487566802102</v>
      </c>
      <c r="J15" s="17">
        <v>2.39797990697442</v>
      </c>
      <c r="K15" s="17">
        <v>0.582491627906009</v>
      </c>
      <c r="L15" s="17">
        <v>0.00246449947189297</v>
      </c>
      <c r="M15" s="17">
        <v>0.0042248562375308</v>
      </c>
      <c r="N15" s="17">
        <v>0.200445957047294</v>
      </c>
      <c r="O15" s="17">
        <v>0.583333333333333</v>
      </c>
      <c r="P15" s="17">
        <v>2.91017759562841</v>
      </c>
      <c r="Q15" s="17">
        <v>0.00161764411997387</v>
      </c>
      <c r="R15" s="17">
        <v>1.91892970308649</v>
      </c>
      <c r="S15" s="17">
        <v>0.382887376286038</v>
      </c>
    </row>
    <row r="16">
      <c r="A16" s="16">
        <v>14.0</v>
      </c>
      <c r="B16" s="17" t="s">
        <v>772</v>
      </c>
      <c r="C16" s="17" t="s">
        <v>757</v>
      </c>
      <c r="D16" s="17">
        <v>0.00163227235630173</v>
      </c>
      <c r="E16" s="17">
        <v>0.00221522676926664</v>
      </c>
      <c r="F16" s="17">
        <v>4.34677235942143E-4</v>
      </c>
      <c r="G16" s="17">
        <v>0.736842105263158</v>
      </c>
      <c r="H16" s="17">
        <v>3.75513650436251</v>
      </c>
      <c r="I16" s="17">
        <v>0.00163130944765268</v>
      </c>
      <c r="J16" s="17">
        <v>3.79834822650342</v>
      </c>
      <c r="K16" s="17">
        <v>0.736407428027215</v>
      </c>
      <c r="L16" s="17">
        <v>0.00165230732916322</v>
      </c>
      <c r="M16" s="17">
        <v>0.00224241708957866</v>
      </c>
      <c r="N16" s="17">
        <v>0.196978638026672</v>
      </c>
      <c r="O16" s="17">
        <v>0.736842105263157</v>
      </c>
      <c r="P16" s="17">
        <v>3.74072088549714</v>
      </c>
      <c r="Q16" s="17">
        <v>0.00121059906497028</v>
      </c>
      <c r="R16" s="17">
        <v>3.05148117549864</v>
      </c>
      <c r="S16" s="17">
        <v>0.539863467236484</v>
      </c>
    </row>
    <row r="17">
      <c r="A17" s="16">
        <v>15.0</v>
      </c>
      <c r="B17" s="17" t="s">
        <v>773</v>
      </c>
      <c r="C17" s="17" t="s">
        <v>771</v>
      </c>
      <c r="D17" s="17">
        <v>0.00128249970852279</v>
      </c>
      <c r="E17" s="17">
        <v>0.00233181765185962</v>
      </c>
      <c r="F17" s="17">
        <v>4.67614126291075E-4</v>
      </c>
      <c r="G17" s="17">
        <v>0.549999999999999</v>
      </c>
      <c r="H17" s="17">
        <v>2.7426453488372</v>
      </c>
      <c r="I17" s="17">
        <v>0.00128140931764884</v>
      </c>
      <c r="J17" s="17">
        <v>2.22118307971935</v>
      </c>
      <c r="K17" s="17">
        <v>0.549532385873708</v>
      </c>
      <c r="L17" s="17">
        <v>0.0013095238095238</v>
      </c>
      <c r="M17" s="17">
        <v>0.00238095238095238</v>
      </c>
      <c r="N17" s="17">
        <v>0.199880952380952</v>
      </c>
      <c r="O17" s="17">
        <v>0.55</v>
      </c>
      <c r="P17" s="17">
        <v>2.75163787969029</v>
      </c>
      <c r="Q17" s="17">
        <v>8.33616780045351E-4</v>
      </c>
      <c r="R17" s="17">
        <v>1.77804232804232</v>
      </c>
      <c r="S17" s="17">
        <v>0.350119047619047</v>
      </c>
    </row>
    <row r="18">
      <c r="A18" s="16">
        <v>16.0</v>
      </c>
      <c r="B18" s="17" t="s">
        <v>774</v>
      </c>
      <c r="C18" s="17" t="s">
        <v>757</v>
      </c>
      <c r="D18" s="17">
        <v>0.00314795383001049</v>
      </c>
      <c r="E18" s="17">
        <v>0.00338113559519645</v>
      </c>
      <c r="F18" s="17">
        <v>6.6345472854327E-4</v>
      </c>
      <c r="G18" s="17">
        <v>0.93103448275862</v>
      </c>
      <c r="H18" s="17">
        <v>4.74479070625115</v>
      </c>
      <c r="I18" s="17">
        <v>0.00314571059961201</v>
      </c>
      <c r="J18" s="17">
        <v>14.4903799064361</v>
      </c>
      <c r="K18" s="17">
        <v>0.930371028030077</v>
      </c>
      <c r="L18" s="17">
        <v>0.00381787330316742</v>
      </c>
      <c r="M18" s="17">
        <v>0.00410067873303167</v>
      </c>
      <c r="N18" s="17">
        <v>0.187075791855203</v>
      </c>
      <c r="O18" s="17">
        <v>0.93103448275862</v>
      </c>
      <c r="P18" s="17">
        <v>4.97677691766361</v>
      </c>
      <c r="Q18" s="17">
        <v>0.00305073558204172</v>
      </c>
      <c r="R18" s="17">
        <v>11.7874010180995</v>
      </c>
      <c r="S18" s="17">
        <v>0.743958690903417</v>
      </c>
    </row>
    <row r="19">
      <c r="A19" s="16">
        <v>17.0</v>
      </c>
      <c r="B19" s="17" t="s">
        <v>775</v>
      </c>
      <c r="C19" s="17" t="s">
        <v>757</v>
      </c>
      <c r="D19" s="17">
        <v>0.00139909059111577</v>
      </c>
      <c r="E19" s="17">
        <v>0.00151568147370875</v>
      </c>
      <c r="F19" s="17">
        <v>2.97410740381466E-4</v>
      </c>
      <c r="G19" s="17">
        <v>0.923076923076923</v>
      </c>
      <c r="H19" s="17">
        <v>4.70423693953105</v>
      </c>
      <c r="I19" s="17">
        <v>0.00139863981116649</v>
      </c>
      <c r="J19" s="17">
        <v>12.996133660375</v>
      </c>
      <c r="K19" s="17">
        <v>0.922779512336541</v>
      </c>
      <c r="L19" s="17">
        <v>0.00141626342499704</v>
      </c>
      <c r="M19" s="17">
        <v>0.00153428537708013</v>
      </c>
      <c r="N19" s="17">
        <v>0.196978638026672</v>
      </c>
      <c r="O19" s="17">
        <v>0.923076923076923</v>
      </c>
      <c r="P19" s="17">
        <v>4.68617781260082</v>
      </c>
      <c r="Q19" s="17">
        <v>0.00111404198107556</v>
      </c>
      <c r="R19" s="17">
        <v>10.4392777056532</v>
      </c>
      <c r="S19" s="17">
        <v>0.72609828505025</v>
      </c>
    </row>
    <row r="20">
      <c r="A20" s="16">
        <v>18.0</v>
      </c>
      <c r="B20" s="17" t="s">
        <v>776</v>
      </c>
      <c r="C20" s="17" t="s">
        <v>759</v>
      </c>
      <c r="D20" s="17">
        <v>0.00419727177334732</v>
      </c>
      <c r="E20" s="17">
        <v>0.00769499825113676</v>
      </c>
      <c r="F20" s="17">
        <v>0.00232455875815498</v>
      </c>
      <c r="G20" s="17">
        <v>0.545454545454545</v>
      </c>
      <c r="H20" s="17">
        <v>1.80562085540858</v>
      </c>
      <c r="I20" s="17">
        <v>0.00417938429776865</v>
      </c>
      <c r="J20" s="17">
        <v>2.19488597073205</v>
      </c>
      <c r="K20" s="17">
        <v>0.54312998669639</v>
      </c>
      <c r="L20" s="17">
        <v>0.00421348314606741</v>
      </c>
      <c r="M20" s="17">
        <v>0.00772471910112359</v>
      </c>
      <c r="N20" s="17">
        <v>0.301849250936329</v>
      </c>
      <c r="O20" s="17">
        <v>0.545454545454545</v>
      </c>
      <c r="P20" s="17">
        <v>1.80704289893898</v>
      </c>
      <c r="Q20" s="17">
        <v>0.0018817824716997</v>
      </c>
      <c r="R20" s="17">
        <v>1.53593164794007</v>
      </c>
      <c r="S20" s="17">
        <v>0.243605294518215</v>
      </c>
    </row>
    <row r="21">
      <c r="A21" s="16">
        <v>19.0</v>
      </c>
      <c r="B21" s="17" t="s">
        <v>777</v>
      </c>
      <c r="C21" s="17" t="s">
        <v>759</v>
      </c>
      <c r="D21" s="17">
        <v>0.00478022618631223</v>
      </c>
      <c r="E21" s="17">
        <v>0.00816136178150868</v>
      </c>
      <c r="F21" s="17">
        <v>0.00246544110713408</v>
      </c>
      <c r="G21" s="17">
        <v>0.585714285714285</v>
      </c>
      <c r="H21" s="17">
        <v>1.93889287092683</v>
      </c>
      <c r="I21" s="17">
        <v>0.0047601048294859</v>
      </c>
      <c r="J21" s="17">
        <v>2.40784203870691</v>
      </c>
      <c r="K21" s="17">
        <v>0.583248844607151</v>
      </c>
      <c r="L21" s="17">
        <v>0.00478804157421464</v>
      </c>
      <c r="M21" s="17">
        <v>0.00817470512670793</v>
      </c>
      <c r="N21" s="17">
        <v>0.302113745182763</v>
      </c>
      <c r="O21" s="17">
        <v>0.585714285714285</v>
      </c>
      <c r="P21" s="17">
        <v>1.93872107791705</v>
      </c>
      <c r="Q21" s="17">
        <v>0.00231835079262017</v>
      </c>
      <c r="R21" s="17">
        <v>1.68455302886919</v>
      </c>
      <c r="S21" s="17">
        <v>0.283600540531522</v>
      </c>
    </row>
    <row r="22">
      <c r="A22" s="16">
        <v>20.0</v>
      </c>
      <c r="B22" s="17" t="s">
        <v>778</v>
      </c>
      <c r="C22" s="17" t="s">
        <v>779</v>
      </c>
      <c r="D22" s="17">
        <v>0.00104931794333683</v>
      </c>
      <c r="E22" s="17">
        <v>0.00186545412148769</v>
      </c>
      <c r="F22" s="17">
        <v>1.00917653301887E-4</v>
      </c>
      <c r="G22" s="17">
        <v>0.5625</v>
      </c>
      <c r="H22" s="17">
        <v>10.3977640086206</v>
      </c>
      <c r="I22" s="17">
        <v>0.00104912968608454</v>
      </c>
      <c r="J22" s="17">
        <v>2.28548361679245</v>
      </c>
      <c r="K22" s="17">
        <v>0.562399082346698</v>
      </c>
      <c r="L22" s="17">
        <v>0.0036319612590799</v>
      </c>
      <c r="M22" s="17">
        <v>0.00645682001614205</v>
      </c>
      <c r="N22" s="17">
        <v>0.0447941888619854</v>
      </c>
      <c r="O22" s="17">
        <v>0.5625</v>
      </c>
      <c r="P22" s="17">
        <v>12.5574324324324</v>
      </c>
      <c r="Q22" s="17">
        <v>0.00334273324382898</v>
      </c>
      <c r="R22" s="17">
        <v>2.18332756831546</v>
      </c>
      <c r="S22" s="17">
        <v>0.517705811138014</v>
      </c>
    </row>
    <row r="23">
      <c r="A23" s="16">
        <v>21.0</v>
      </c>
      <c r="B23" s="17" t="s">
        <v>780</v>
      </c>
      <c r="C23" s="17" t="s">
        <v>781</v>
      </c>
      <c r="D23" s="17">
        <v>0.00104931794333683</v>
      </c>
      <c r="E23" s="17">
        <v>0.00163227235630173</v>
      </c>
      <c r="F23" s="18">
        <v>7.17461441443109E-5</v>
      </c>
      <c r="G23" s="17">
        <v>0.642857142857142</v>
      </c>
      <c r="H23" s="17">
        <v>14.62542629784</v>
      </c>
      <c r="I23" s="17">
        <v>0.00104920083408907</v>
      </c>
      <c r="J23" s="17">
        <v>2.79979911079639</v>
      </c>
      <c r="K23" s="17">
        <v>0.642785396712998</v>
      </c>
      <c r="L23" s="17">
        <v>0.0036319612590799</v>
      </c>
      <c r="M23" s="17">
        <v>0.00564971751412429</v>
      </c>
      <c r="N23" s="17">
        <v>0.0508474576271186</v>
      </c>
      <c r="O23" s="17">
        <v>0.642857142857142</v>
      </c>
      <c r="P23" s="17">
        <v>12.6428571428571</v>
      </c>
      <c r="Q23" s="17">
        <v>0.00334468748717527</v>
      </c>
      <c r="R23" s="17">
        <v>2.65762711864406</v>
      </c>
      <c r="S23" s="17">
        <v>0.592009685230024</v>
      </c>
    </row>
    <row r="24">
      <c r="A24" s="16">
        <v>22.0</v>
      </c>
      <c r="B24" s="17" t="s">
        <v>782</v>
      </c>
      <c r="C24" s="17" t="s">
        <v>759</v>
      </c>
      <c r="D24" s="17">
        <v>0.00104931794333683</v>
      </c>
      <c r="E24" s="17">
        <v>0.00163227235630173</v>
      </c>
      <c r="F24" s="17">
        <v>4.93088221426815E-4</v>
      </c>
      <c r="G24" s="17">
        <v>0.642857142857142</v>
      </c>
      <c r="H24" s="17">
        <v>2.12805315101725</v>
      </c>
      <c r="I24" s="17">
        <v>0.00104851308906377</v>
      </c>
      <c r="J24" s="17">
        <v>2.79861935298</v>
      </c>
      <c r="K24" s="17">
        <v>0.642364054635716</v>
      </c>
      <c r="L24" s="17">
        <v>0.00105054278043655</v>
      </c>
      <c r="M24" s="17">
        <v>0.00163417765845686</v>
      </c>
      <c r="N24" s="17">
        <v>0.301972685887708</v>
      </c>
      <c r="O24" s="17">
        <v>0.642857142857142</v>
      </c>
      <c r="P24" s="17">
        <v>2.12885857860732</v>
      </c>
      <c r="Q24" s="17">
        <v>5.57065763694651E-4</v>
      </c>
      <c r="R24" s="17">
        <v>1.95447647951441</v>
      </c>
      <c r="S24" s="17">
        <v>0.340884456969434</v>
      </c>
    </row>
    <row r="25">
      <c r="A25" s="16">
        <v>23.0</v>
      </c>
      <c r="B25" s="17" t="s">
        <v>783</v>
      </c>
      <c r="C25" s="17" t="s">
        <v>759</v>
      </c>
      <c r="D25" s="17">
        <v>0.00279818118223154</v>
      </c>
      <c r="E25" s="17">
        <v>0.00547977148187011</v>
      </c>
      <c r="F25" s="17">
        <v>0.00165536760050431</v>
      </c>
      <c r="G25" s="17">
        <v>0.51063829787234</v>
      </c>
      <c r="H25" s="17">
        <v>1.6903684603825</v>
      </c>
      <c r="I25" s="17">
        <v>0.00278911014606229</v>
      </c>
      <c r="J25" s="17">
        <v>2.04009555316418</v>
      </c>
      <c r="K25" s="17">
        <v>0.508982930271836</v>
      </c>
      <c r="L25" s="17">
        <v>0.00280112044817927</v>
      </c>
      <c r="M25" s="17">
        <v>0.00548552754435107</v>
      </c>
      <c r="N25" s="17">
        <v>0.301820728291316</v>
      </c>
      <c r="O25" s="17">
        <v>0.51063829787234</v>
      </c>
      <c r="P25" s="17">
        <v>1.69185960408747</v>
      </c>
      <c r="Q25" s="17">
        <v>0.00114547452968115</v>
      </c>
      <c r="R25" s="17">
        <v>1.42671416392644</v>
      </c>
      <c r="S25" s="17">
        <v>0.208817569581023</v>
      </c>
    </row>
    <row r="26">
      <c r="A26" s="16">
        <v>24.0</v>
      </c>
      <c r="B26" s="17" t="s">
        <v>784</v>
      </c>
      <c r="C26" s="17" t="s">
        <v>757</v>
      </c>
      <c r="D26" s="17">
        <v>0.00839454354669464</v>
      </c>
      <c r="E26" s="17">
        <v>0.0114259064941121</v>
      </c>
      <c r="F26" s="17">
        <v>0.00224201942749105</v>
      </c>
      <c r="G26" s="17">
        <v>0.73469387755102</v>
      </c>
      <c r="H26" s="17">
        <v>3.74418858452471</v>
      </c>
      <c r="I26" s="17">
        <v>0.00836892644235815</v>
      </c>
      <c r="J26" s="17">
        <v>3.76078008061945</v>
      </c>
      <c r="K26" s="17">
        <v>0.732451858123529</v>
      </c>
      <c r="L26" s="17">
        <v>0.00849758054998229</v>
      </c>
      <c r="M26" s="17">
        <v>0.0115661513041425</v>
      </c>
      <c r="N26" s="17">
        <v>0.196978638026672</v>
      </c>
      <c r="O26" s="17">
        <v>0.73469387755102</v>
      </c>
      <c r="P26" s="17">
        <v>3.72981499370269</v>
      </c>
      <c r="Q26" s="17">
        <v>0.00621929581888186</v>
      </c>
      <c r="R26" s="17">
        <v>3.02677282589946</v>
      </c>
      <c r="S26" s="17">
        <v>0.537715239524347</v>
      </c>
    </row>
    <row r="27">
      <c r="A27" s="16">
        <v>25.0</v>
      </c>
      <c r="B27" s="17" t="s">
        <v>785</v>
      </c>
      <c r="C27" s="17" t="s">
        <v>759</v>
      </c>
      <c r="D27" s="17">
        <v>0.0232015856360032</v>
      </c>
      <c r="E27" s="17">
        <v>0.0427888539116241</v>
      </c>
      <c r="F27" s="17">
        <v>0.0129259555188315</v>
      </c>
      <c r="G27" s="17">
        <v>0.542234332425068</v>
      </c>
      <c r="H27" s="17">
        <v>1.79496096843296</v>
      </c>
      <c r="I27" s="17">
        <v>0.0226484988136398</v>
      </c>
      <c r="J27" s="17">
        <v>2.15628675193207</v>
      </c>
      <c r="K27" s="17">
        <v>0.529308376906236</v>
      </c>
      <c r="L27" s="17">
        <v>0.0232911985018726</v>
      </c>
      <c r="M27" s="17">
        <v>0.0429541198501872</v>
      </c>
      <c r="N27" s="17">
        <v>0.301849250936329</v>
      </c>
      <c r="O27" s="17">
        <v>0.542234332425068</v>
      </c>
      <c r="P27" s="17">
        <v>1.796374616611</v>
      </c>
      <c r="Q27" s="17">
        <v>0.0103255296004643</v>
      </c>
      <c r="R27" s="17">
        <v>1.52512693396647</v>
      </c>
      <c r="S27" s="17">
        <v>0.240385081488738</v>
      </c>
    </row>
    <row r="28">
      <c r="A28" s="16">
        <v>26.0</v>
      </c>
      <c r="B28" s="17" t="s">
        <v>786</v>
      </c>
      <c r="C28" s="17" t="s">
        <v>759</v>
      </c>
      <c r="D28" s="17">
        <v>0.00338113559519645</v>
      </c>
      <c r="E28" s="17">
        <v>0.00676227119039291</v>
      </c>
      <c r="F28" s="17">
        <v>0.0020427940601968</v>
      </c>
      <c r="G28" s="17">
        <v>0.5</v>
      </c>
      <c r="H28" s="17">
        <v>1.6551524507912</v>
      </c>
      <c r="I28" s="17">
        <v>0.00336732166777528</v>
      </c>
      <c r="J28" s="17">
        <v>1.9959144118796</v>
      </c>
      <c r="K28" s="17">
        <v>0.497957205939803</v>
      </c>
      <c r="L28" s="17">
        <v>0.00345238095238095</v>
      </c>
      <c r="M28" s="17">
        <v>0.0069047619047619</v>
      </c>
      <c r="N28" s="17">
        <v>0.301428571428571</v>
      </c>
      <c r="O28" s="17">
        <v>0.5</v>
      </c>
      <c r="P28" s="17">
        <v>1.65876777251184</v>
      </c>
      <c r="Q28" s="17">
        <v>0.00137108843537414</v>
      </c>
      <c r="R28" s="17">
        <v>1.39714285714285</v>
      </c>
      <c r="S28" s="17">
        <v>0.198571428571428</v>
      </c>
    </row>
    <row r="29">
      <c r="A29" s="16">
        <v>27.0</v>
      </c>
      <c r="B29" s="17" t="s">
        <v>787</v>
      </c>
      <c r="C29" s="17" t="s">
        <v>759</v>
      </c>
      <c r="D29" s="17">
        <v>0.00361431736038241</v>
      </c>
      <c r="E29" s="17">
        <v>0.00722863472076483</v>
      </c>
      <c r="F29" s="17">
        <v>0.00218367640917589</v>
      </c>
      <c r="G29" s="17">
        <v>0.5</v>
      </c>
      <c r="H29" s="17">
        <v>1.6551524507912</v>
      </c>
      <c r="I29" s="17">
        <v>0.00359853236127213</v>
      </c>
      <c r="J29" s="17">
        <v>1.99563264718164</v>
      </c>
      <c r="K29" s="17">
        <v>0.497816323590824</v>
      </c>
      <c r="L29" s="17">
        <v>0.00361938120256859</v>
      </c>
      <c r="M29" s="17">
        <v>0.00723876240513718</v>
      </c>
      <c r="N29" s="17">
        <v>0.301809690601284</v>
      </c>
      <c r="O29" s="17">
        <v>0.5</v>
      </c>
      <c r="P29" s="17">
        <v>1.65667311411992</v>
      </c>
      <c r="Q29" s="17">
        <v>0.00143465256073793</v>
      </c>
      <c r="R29" s="17">
        <v>1.39638061879743</v>
      </c>
      <c r="S29" s="17">
        <v>0.198190309398715</v>
      </c>
    </row>
    <row r="30">
      <c r="A30" s="16">
        <v>28.0</v>
      </c>
      <c r="B30" s="17" t="s">
        <v>788</v>
      </c>
      <c r="C30" s="17" t="s">
        <v>771</v>
      </c>
      <c r="D30" s="17">
        <v>0.00314795383001049</v>
      </c>
      <c r="E30" s="17">
        <v>0.006179316777428</v>
      </c>
      <c r="F30" s="17">
        <v>0.00123917743467135</v>
      </c>
      <c r="G30" s="17">
        <v>0.50943396226415</v>
      </c>
      <c r="H30" s="17">
        <v>2.54035761298815</v>
      </c>
      <c r="I30" s="17">
        <v>0.00314029656009821</v>
      </c>
      <c r="J30" s="17">
        <v>2.03593552292163</v>
      </c>
      <c r="K30" s="17">
        <v>0.508194784829479</v>
      </c>
      <c r="L30" s="17">
        <v>0.00316567006683081</v>
      </c>
      <c r="M30" s="17">
        <v>0.00621409309414937</v>
      </c>
      <c r="N30" s="17">
        <v>0.200609684605463</v>
      </c>
      <c r="O30" s="17">
        <v>0.50943396226415</v>
      </c>
      <c r="P30" s="17">
        <v>2.5394285588258</v>
      </c>
      <c r="Q30" s="17">
        <v>0.00191906281110451</v>
      </c>
      <c r="R30" s="17">
        <v>1.6295264121504</v>
      </c>
      <c r="S30" s="17">
        <v>0.308824277658687</v>
      </c>
    </row>
    <row r="31">
      <c r="A31" s="16">
        <v>29.0</v>
      </c>
      <c r="B31" s="17" t="s">
        <v>789</v>
      </c>
      <c r="C31" s="17" t="s">
        <v>757</v>
      </c>
      <c r="D31" s="17">
        <v>0.00139909059111577</v>
      </c>
      <c r="E31" s="17">
        <v>0.00151568147370875</v>
      </c>
      <c r="F31" s="17">
        <v>2.97410740381466E-4</v>
      </c>
      <c r="G31" s="17">
        <v>0.923076923076923</v>
      </c>
      <c r="H31" s="17">
        <v>4.70423693953105</v>
      </c>
      <c r="I31" s="17">
        <v>0.00139863981116649</v>
      </c>
      <c r="J31" s="17">
        <v>12.996133660375</v>
      </c>
      <c r="K31" s="17">
        <v>0.922779512336541</v>
      </c>
      <c r="L31" s="17">
        <v>0.00142857142857142</v>
      </c>
      <c r="M31" s="17">
        <v>0.00154761904761904</v>
      </c>
      <c r="N31" s="17">
        <v>0.194880952380952</v>
      </c>
      <c r="O31" s="17">
        <v>0.923076923076923</v>
      </c>
      <c r="P31" s="17">
        <v>4.73661951975941</v>
      </c>
      <c r="Q31" s="17">
        <v>0.00112696995464852</v>
      </c>
      <c r="R31" s="17">
        <v>10.4665476190476</v>
      </c>
      <c r="S31" s="17">
        <v>0.72819597069597</v>
      </c>
    </row>
    <row r="32">
      <c r="A32" s="16">
        <v>30.0</v>
      </c>
      <c r="B32" s="17" t="s">
        <v>790</v>
      </c>
      <c r="C32" s="17" t="s">
        <v>759</v>
      </c>
      <c r="D32" s="17">
        <v>0.00349772647778943</v>
      </c>
      <c r="E32" s="17">
        <v>0.00606272589483502</v>
      </c>
      <c r="F32" s="17">
        <v>0.00183147053672817</v>
      </c>
      <c r="G32" s="17">
        <v>0.576923076923077</v>
      </c>
      <c r="H32" s="17">
        <v>1.90979128937446</v>
      </c>
      <c r="I32" s="17">
        <v>0.00348662277394078</v>
      </c>
      <c r="J32" s="17">
        <v>2.35930743327682</v>
      </c>
      <c r="K32" s="17">
        <v>0.575091606386348</v>
      </c>
      <c r="L32" s="17">
        <v>0.00357142857142857</v>
      </c>
      <c r="M32" s="17">
        <v>0.00619047619047619</v>
      </c>
      <c r="N32" s="17">
        <v>0.301428571428571</v>
      </c>
      <c r="O32" s="17">
        <v>0.576923076923076</v>
      </c>
      <c r="P32" s="17">
        <v>1.91396281443674</v>
      </c>
      <c r="Q32" s="17">
        <v>0.00170544217687074</v>
      </c>
      <c r="R32" s="17">
        <v>1.65116883116883</v>
      </c>
      <c r="S32" s="17">
        <v>0.275494505494505</v>
      </c>
    </row>
    <row r="33">
      <c r="A33" s="16">
        <v>31.0</v>
      </c>
      <c r="B33" s="17" t="s">
        <v>791</v>
      </c>
      <c r="C33" s="17" t="s">
        <v>757</v>
      </c>
      <c r="D33" s="17">
        <v>0.00466363530371925</v>
      </c>
      <c r="E33" s="17">
        <v>0.00676227119039291</v>
      </c>
      <c r="F33" s="17">
        <v>0.00132690945708654</v>
      </c>
      <c r="G33" s="17">
        <v>0.689655172413793</v>
      </c>
      <c r="H33" s="17">
        <v>3.51465978240826</v>
      </c>
      <c r="I33" s="17">
        <v>0.00465466238212533</v>
      </c>
      <c r="J33" s="17">
        <v>3.21794662508272</v>
      </c>
      <c r="K33" s="17">
        <v>0.688328262956706</v>
      </c>
      <c r="L33" s="17">
        <v>0.00472087808332349</v>
      </c>
      <c r="M33" s="17">
        <v>0.00684527322081907</v>
      </c>
      <c r="N33" s="17">
        <v>0.196978638026672</v>
      </c>
      <c r="O33" s="17">
        <v>0.689655172413793</v>
      </c>
      <c r="P33" s="17">
        <v>3.50116733125348</v>
      </c>
      <c r="Q33" s="17">
        <v>0.0033725054873661</v>
      </c>
      <c r="R33" s="17">
        <v>2.58751327746961</v>
      </c>
      <c r="S33" s="17">
        <v>0.49267653438712</v>
      </c>
    </row>
    <row r="34">
      <c r="A34" s="16">
        <v>32.0</v>
      </c>
      <c r="B34" s="17" t="s">
        <v>792</v>
      </c>
      <c r="C34" s="17" t="s">
        <v>757</v>
      </c>
      <c r="D34" s="17">
        <v>0.00116590882592981</v>
      </c>
      <c r="E34" s="17">
        <v>0.00221522676926664</v>
      </c>
      <c r="F34" s="17">
        <v>4.34677235942143E-4</v>
      </c>
      <c r="G34" s="17">
        <v>0.526315789473684</v>
      </c>
      <c r="H34" s="17">
        <v>2.68224036025893</v>
      </c>
      <c r="I34" s="17">
        <v>0.00116494591728076</v>
      </c>
      <c r="J34" s="17">
        <v>2.11019345916856</v>
      </c>
      <c r="K34" s="17">
        <v>0.525881112237742</v>
      </c>
      <c r="L34" s="17">
        <v>0.00118021952083087</v>
      </c>
      <c r="M34" s="17">
        <v>0.00224241708957866</v>
      </c>
      <c r="N34" s="17">
        <v>0.196978638026672</v>
      </c>
      <c r="O34" s="17">
        <v>0.526315789473684</v>
      </c>
      <c r="P34" s="17">
        <v>2.67194348964081</v>
      </c>
      <c r="Q34" s="17">
        <v>7.38511256637933E-4</v>
      </c>
      <c r="R34" s="17">
        <v>1.69526731972146</v>
      </c>
      <c r="S34" s="17">
        <v>0.329337151447011</v>
      </c>
    </row>
    <row r="35">
      <c r="A35" s="16">
        <v>33.0</v>
      </c>
      <c r="B35" s="17" t="s">
        <v>793</v>
      </c>
      <c r="C35" s="17" t="s">
        <v>757</v>
      </c>
      <c r="D35" s="17">
        <v>0.00198204500408068</v>
      </c>
      <c r="E35" s="17">
        <v>0.0024484085344526</v>
      </c>
      <c r="F35" s="17">
        <v>4.80432734462368E-4</v>
      </c>
      <c r="G35" s="17">
        <v>0.809523809523809</v>
      </c>
      <c r="H35" s="17">
        <v>4.12554112554112</v>
      </c>
      <c r="I35" s="17">
        <v>0.00198086870847339</v>
      </c>
      <c r="J35" s="17">
        <v>5.24747772814407</v>
      </c>
      <c r="K35" s="17">
        <v>0.809043376789347</v>
      </c>
      <c r="L35" s="17">
        <v>0.00200637318541248</v>
      </c>
      <c r="M35" s="17">
        <v>0.00247846099374483</v>
      </c>
      <c r="N35" s="17">
        <v>0.196978638026672</v>
      </c>
      <c r="O35" s="17">
        <v>0.809523809523809</v>
      </c>
      <c r="P35" s="17">
        <v>4.10970355787611</v>
      </c>
      <c r="Q35" s="17">
        <v>0.00151816931446239</v>
      </c>
      <c r="R35" s="17">
        <v>4.21586215035996</v>
      </c>
      <c r="S35" s="17">
        <v>0.612545171497136</v>
      </c>
    </row>
    <row r="36">
      <c r="A36" s="16">
        <v>34.0</v>
      </c>
      <c r="B36" s="17" t="s">
        <v>794</v>
      </c>
      <c r="C36" s="17" t="s">
        <v>757</v>
      </c>
      <c r="D36" s="17">
        <v>0.0142240876763437</v>
      </c>
      <c r="E36" s="17">
        <v>0.0173720415063542</v>
      </c>
      <c r="F36" s="17">
        <v>0.0034087846397568</v>
      </c>
      <c r="G36" s="17">
        <v>0.818791946308724</v>
      </c>
      <c r="H36" s="17">
        <v>4.17277392958403</v>
      </c>
      <c r="I36" s="17">
        <v>0.0141648701280956</v>
      </c>
      <c r="J36" s="17">
        <v>5.49970707735838</v>
      </c>
      <c r="K36" s="17">
        <v>0.815383161668968</v>
      </c>
      <c r="L36" s="17">
        <v>0.0143986781541366</v>
      </c>
      <c r="M36" s="17">
        <v>0.01758527086038</v>
      </c>
      <c r="N36" s="17">
        <v>0.196978638026672</v>
      </c>
      <c r="O36" s="17">
        <v>0.818791946308724</v>
      </c>
      <c r="P36" s="17">
        <v>4.15675503958887</v>
      </c>
      <c r="Q36" s="17">
        <v>0.0109347554507288</v>
      </c>
      <c r="R36" s="17">
        <v>4.43148825681576</v>
      </c>
      <c r="S36" s="17">
        <v>0.621813308282052</v>
      </c>
    </row>
    <row r="37">
      <c r="A37" s="16">
        <v>35.0</v>
      </c>
      <c r="B37" s="17" t="s">
        <v>795</v>
      </c>
      <c r="C37" s="17" t="s">
        <v>759</v>
      </c>
      <c r="D37" s="17">
        <v>0.0142240876763437</v>
      </c>
      <c r="E37" s="17">
        <v>0.0251836306400839</v>
      </c>
      <c r="F37" s="17">
        <v>0.00760764684487087</v>
      </c>
      <c r="G37" s="17">
        <v>0.564814814814814</v>
      </c>
      <c r="H37" s="17">
        <v>1.86970924996783</v>
      </c>
      <c r="I37" s="17">
        <v>0.0140324995081622</v>
      </c>
      <c r="J37" s="17">
        <v>2.28039093916497</v>
      </c>
      <c r="K37" s="17">
        <v>0.557207167969943</v>
      </c>
      <c r="L37" s="17">
        <v>0.0143986781541366</v>
      </c>
      <c r="M37" s="17">
        <v>0.0254927416499468</v>
      </c>
      <c r="N37" s="17">
        <v>0.301782131476454</v>
      </c>
      <c r="O37" s="17">
        <v>0.564814814814814</v>
      </c>
      <c r="P37" s="17">
        <v>1.8715979373977</v>
      </c>
      <c r="Q37" s="17">
        <v>0.0067054242418371</v>
      </c>
      <c r="R37" s="17">
        <v>1.60441552767112</v>
      </c>
      <c r="S37" s="17">
        <v>0.26303268333836</v>
      </c>
    </row>
    <row r="38">
      <c r="A38" s="16">
        <v>36.0</v>
      </c>
      <c r="B38" s="17" t="s">
        <v>796</v>
      </c>
      <c r="C38" s="17" t="s">
        <v>756</v>
      </c>
      <c r="D38" s="17">
        <v>0.00139909059111577</v>
      </c>
      <c r="E38" s="17">
        <v>0.00209863588667366</v>
      </c>
      <c r="F38" s="18">
        <v>8.22130882502449E-5</v>
      </c>
      <c r="G38" s="17">
        <v>0.666666666666666</v>
      </c>
      <c r="H38" s="17">
        <v>17.0178571428571</v>
      </c>
      <c r="I38" s="17">
        <v>0.00139891805577841</v>
      </c>
      <c r="J38" s="17">
        <v>2.99975336073524</v>
      </c>
      <c r="K38" s="17">
        <v>0.666584453578416</v>
      </c>
      <c r="L38" s="17">
        <v>0.00142891164562991</v>
      </c>
      <c r="M38" s="17">
        <v>0.00214336746844486</v>
      </c>
      <c r="N38" s="17">
        <v>0.0390569183138842</v>
      </c>
      <c r="O38" s="17">
        <v>0.666666666666666</v>
      </c>
      <c r="P38" s="17">
        <v>17.0691056910569</v>
      </c>
      <c r="Q38" s="17">
        <v>0.00134519831749822</v>
      </c>
      <c r="R38" s="17">
        <v>2.88282924505834</v>
      </c>
      <c r="S38" s="17">
        <v>0.627609748352782</v>
      </c>
    </row>
    <row r="39">
      <c r="A39" s="16">
        <v>37.0</v>
      </c>
      <c r="B39" s="17" t="s">
        <v>797</v>
      </c>
      <c r="C39" s="17" t="s">
        <v>759</v>
      </c>
      <c r="D39" s="17">
        <v>0.0167890870933892</v>
      </c>
      <c r="E39" s="17">
        <v>0.0249504488748979</v>
      </c>
      <c r="F39" s="17">
        <v>0.00753720567038133</v>
      </c>
      <c r="G39" s="17">
        <v>0.672897196261682</v>
      </c>
      <c r="H39" s="17">
        <v>2.2274948870461</v>
      </c>
      <c r="I39" s="17">
        <v>0.0166010304286508</v>
      </c>
      <c r="J39" s="17">
        <v>3.03410054266483</v>
      </c>
      <c r="K39" s="17">
        <v>0.6653599905913</v>
      </c>
      <c r="L39" s="17">
        <v>0.0168539325842696</v>
      </c>
      <c r="M39" s="17">
        <v>0.0250468164794007</v>
      </c>
      <c r="N39" s="17">
        <v>0.301849250936329</v>
      </c>
      <c r="O39" s="17">
        <v>0.672897196261682</v>
      </c>
      <c r="P39" s="17">
        <v>2.22924918373781</v>
      </c>
      <c r="Q39" s="17">
        <v>0.00929356979162283</v>
      </c>
      <c r="R39" s="17">
        <v>2.13434657570893</v>
      </c>
      <c r="S39" s="17">
        <v>0.371047945325352</v>
      </c>
    </row>
    <row r="40">
      <c r="A40" s="16">
        <v>38.0</v>
      </c>
      <c r="B40" s="17" t="s">
        <v>798</v>
      </c>
      <c r="C40" s="17" t="s">
        <v>759</v>
      </c>
      <c r="D40" s="17">
        <v>0.00268159029963856</v>
      </c>
      <c r="E40" s="17">
        <v>0.00408068089075434</v>
      </c>
      <c r="F40" s="17">
        <v>0.00123272055356704</v>
      </c>
      <c r="G40" s="17">
        <v>0.657142857142857</v>
      </c>
      <c r="H40" s="17">
        <v>2.17534322103986</v>
      </c>
      <c r="I40" s="17">
        <v>0.00267655996043198</v>
      </c>
      <c r="J40" s="17">
        <v>2.91307123171876</v>
      </c>
      <c r="K40" s="17">
        <v>0.65591013658929</v>
      </c>
      <c r="L40" s="17">
        <v>0.00269194756554307</v>
      </c>
      <c r="M40" s="17">
        <v>0.00409644194756554</v>
      </c>
      <c r="N40" s="17">
        <v>0.301849250936329</v>
      </c>
      <c r="O40" s="17">
        <v>0.657142857142857</v>
      </c>
      <c r="P40" s="17">
        <v>2.1770564449122</v>
      </c>
      <c r="Q40" s="17">
        <v>0.00145543963216625</v>
      </c>
      <c r="R40" s="17">
        <v>2.03627301810237</v>
      </c>
      <c r="S40" s="17">
        <v>0.355293606206527</v>
      </c>
    </row>
    <row r="41">
      <c r="A41" s="16">
        <v>39.0</v>
      </c>
      <c r="B41" s="17" t="s">
        <v>799</v>
      </c>
      <c r="C41" s="17" t="s">
        <v>759</v>
      </c>
      <c r="D41" s="17">
        <v>0.00547977148187011</v>
      </c>
      <c r="E41" s="17">
        <v>0.0093272706074385</v>
      </c>
      <c r="F41" s="17">
        <v>0.0028176469795818</v>
      </c>
      <c r="G41" s="17">
        <v>0.5875</v>
      </c>
      <c r="H41" s="17">
        <v>1.94480412967966</v>
      </c>
      <c r="I41" s="17">
        <v>0.00545349052601532</v>
      </c>
      <c r="J41" s="17">
        <v>2.41741176489798</v>
      </c>
      <c r="K41" s="17">
        <v>0.584682353020418</v>
      </c>
      <c r="L41" s="17">
        <v>0.00550093632958801</v>
      </c>
      <c r="M41" s="17">
        <v>0.00936329588014981</v>
      </c>
      <c r="N41" s="17">
        <v>0.301849250936329</v>
      </c>
      <c r="O41" s="17">
        <v>0.5875</v>
      </c>
      <c r="P41" s="17">
        <v>1.94633578906552</v>
      </c>
      <c r="Q41" s="17">
        <v>0.00267463248186957</v>
      </c>
      <c r="R41" s="17">
        <v>1.69248666439677</v>
      </c>
      <c r="S41" s="17">
        <v>0.28565074906367</v>
      </c>
    </row>
    <row r="42">
      <c r="A42" s="16">
        <v>40.0</v>
      </c>
      <c r="B42" s="17" t="s">
        <v>800</v>
      </c>
      <c r="C42" s="17" t="s">
        <v>759</v>
      </c>
      <c r="D42" s="17">
        <v>0.00652908942520694</v>
      </c>
      <c r="E42" s="17">
        <v>0.0113093156115191</v>
      </c>
      <c r="F42" s="17">
        <v>0.00341639696274293</v>
      </c>
      <c r="G42" s="17">
        <v>0.577319587628865</v>
      </c>
      <c r="H42" s="17">
        <v>1.91110386070736</v>
      </c>
      <c r="I42" s="17">
        <v>0.00649045231370105</v>
      </c>
      <c r="J42" s="17">
        <v>2.35777096328326</v>
      </c>
      <c r="K42" s="17">
        <v>0.573903190666122</v>
      </c>
      <c r="L42" s="17">
        <v>0.00655430711610486</v>
      </c>
      <c r="M42" s="17">
        <v>0.0113529962546816</v>
      </c>
      <c r="N42" s="17">
        <v>0.301849250936329</v>
      </c>
      <c r="O42" s="17">
        <v>0.577319587628865</v>
      </c>
      <c r="P42" s="17">
        <v>1.91260897894572</v>
      </c>
      <c r="Q42" s="17">
        <v>0.00312741370074625</v>
      </c>
      <c r="R42" s="17">
        <v>1.65172250388234</v>
      </c>
      <c r="S42" s="17">
        <v>0.275470336692536</v>
      </c>
    </row>
    <row r="43">
      <c r="A43" s="16">
        <v>41.0</v>
      </c>
      <c r="B43" s="17" t="s">
        <v>796</v>
      </c>
      <c r="C43" s="17" t="s">
        <v>759</v>
      </c>
      <c r="D43" s="17">
        <v>0.00104931794333683</v>
      </c>
      <c r="E43" s="17">
        <v>0.00209863588667366</v>
      </c>
      <c r="F43" s="17">
        <v>6.33970570405906E-4</v>
      </c>
      <c r="G43" s="17">
        <v>0.5</v>
      </c>
      <c r="H43" s="17">
        <v>1.6551524507912</v>
      </c>
      <c r="I43" s="17">
        <v>0.00104798746994668</v>
      </c>
      <c r="J43" s="17">
        <v>1.99873205885918</v>
      </c>
      <c r="K43" s="17">
        <v>0.499366029429594</v>
      </c>
      <c r="L43" s="17">
        <v>0.00107168373422243</v>
      </c>
      <c r="M43" s="17">
        <v>0.00214336746844486</v>
      </c>
      <c r="N43" s="17">
        <v>0.301381281257442</v>
      </c>
      <c r="O43" s="17">
        <v>0.5</v>
      </c>
      <c r="P43" s="17">
        <v>1.65902805215329</v>
      </c>
      <c r="Q43" s="17">
        <v>4.25712900376999E-4</v>
      </c>
      <c r="R43" s="17">
        <v>1.39723743748511</v>
      </c>
      <c r="S43" s="17">
        <v>0.198618718742557</v>
      </c>
    </row>
    <row r="44">
      <c r="A44" s="16">
        <v>42.0</v>
      </c>
      <c r="B44" s="17" t="s">
        <v>801</v>
      </c>
      <c r="C44" s="17" t="s">
        <v>759</v>
      </c>
      <c r="D44" s="17">
        <v>0.00104931794333683</v>
      </c>
      <c r="E44" s="17">
        <v>0.00151568147370875</v>
      </c>
      <c r="F44" s="17">
        <v>4.57867634182043E-4</v>
      </c>
      <c r="G44" s="17">
        <v>0.692307692307692</v>
      </c>
      <c r="H44" s="17">
        <v>2.29174954724935</v>
      </c>
      <c r="I44" s="17">
        <v>0.00104862396184629</v>
      </c>
      <c r="J44" s="17">
        <v>3.2485119301889</v>
      </c>
      <c r="K44" s="17">
        <v>0.69184982467351</v>
      </c>
      <c r="L44" s="17">
        <v>0.00107142857142857</v>
      </c>
      <c r="M44" s="17">
        <v>0.00154761904761904</v>
      </c>
      <c r="N44" s="17">
        <v>0.301428571428571</v>
      </c>
      <c r="O44" s="17">
        <v>0.692307692307692</v>
      </c>
      <c r="P44" s="17">
        <v>2.29675537732409</v>
      </c>
      <c r="Q44" s="17">
        <v>6.04931972789115E-4</v>
      </c>
      <c r="R44" s="17">
        <v>2.27035714285714</v>
      </c>
      <c r="S44" s="17">
        <v>0.39087912087912</v>
      </c>
    </row>
    <row r="45">
      <c r="A45" s="16">
        <v>43.0</v>
      </c>
      <c r="B45" s="17" t="s">
        <v>802</v>
      </c>
      <c r="C45" s="17" t="s">
        <v>759</v>
      </c>
      <c r="D45" s="17">
        <v>0.00174886323889471</v>
      </c>
      <c r="E45" s="17">
        <v>0.00303136294741751</v>
      </c>
      <c r="F45" s="17">
        <v>9.15735268364086E-4</v>
      </c>
      <c r="G45" s="17">
        <v>0.576923076923077</v>
      </c>
      <c r="H45" s="17">
        <v>1.90979128937446</v>
      </c>
      <c r="I45" s="17">
        <v>0.00174608731293255</v>
      </c>
      <c r="J45" s="17">
        <v>2.36147189845659</v>
      </c>
      <c r="K45" s="17">
        <v>0.576007341654712</v>
      </c>
      <c r="L45" s="17">
        <v>0.00178571428571428</v>
      </c>
      <c r="M45" s="17">
        <v>0.00309523809523809</v>
      </c>
      <c r="N45" s="17">
        <v>0.301428571428571</v>
      </c>
      <c r="O45" s="17">
        <v>0.576923076923076</v>
      </c>
      <c r="P45" s="17">
        <v>1.91396281443674</v>
      </c>
      <c r="Q45" s="17">
        <v>8.52721088435374E-4</v>
      </c>
      <c r="R45" s="17">
        <v>1.65116883116883</v>
      </c>
      <c r="S45" s="17">
        <v>0.275494505494505</v>
      </c>
    </row>
    <row r="46">
      <c r="A46" s="16">
        <v>44.0</v>
      </c>
      <c r="B46" s="17" t="s">
        <v>803</v>
      </c>
      <c r="C46" s="17" t="s">
        <v>759</v>
      </c>
      <c r="D46" s="17">
        <v>0.00151568147370875</v>
      </c>
      <c r="E46" s="17">
        <v>0.00198204500408068</v>
      </c>
      <c r="F46" s="17">
        <v>5.98749983161133E-4</v>
      </c>
      <c r="G46" s="17">
        <v>0.764705882352941</v>
      </c>
      <c r="H46" s="17">
        <v>2.53140963062183</v>
      </c>
      <c r="I46" s="17">
        <v>0.00151449472429593</v>
      </c>
      <c r="J46" s="17">
        <v>4.24745531257156</v>
      </c>
      <c r="K46" s="17">
        <v>0.764107132369779</v>
      </c>
      <c r="L46" s="17">
        <v>0.00154761904761904</v>
      </c>
      <c r="M46" s="17">
        <v>0.00202380952380952</v>
      </c>
      <c r="N46" s="17">
        <v>0.301428571428571</v>
      </c>
      <c r="O46" s="17">
        <v>0.764705882352941</v>
      </c>
      <c r="P46" s="17">
        <v>2.53693894619459</v>
      </c>
      <c r="Q46" s="17">
        <v>9.37585034013605E-4</v>
      </c>
      <c r="R46" s="17">
        <v>2.96892857142857</v>
      </c>
      <c r="S46" s="17">
        <v>0.463277310924369</v>
      </c>
    </row>
    <row r="47">
      <c r="A47" s="16">
        <v>45.0</v>
      </c>
      <c r="B47" s="17" t="s">
        <v>791</v>
      </c>
      <c r="C47" s="17" t="s">
        <v>759</v>
      </c>
      <c r="D47" s="17">
        <v>0.00384749912556838</v>
      </c>
      <c r="E47" s="17">
        <v>0.00676227119039291</v>
      </c>
      <c r="F47" s="17">
        <v>0.0020427940601968</v>
      </c>
      <c r="G47" s="17">
        <v>0.568965517241379</v>
      </c>
      <c r="H47" s="17">
        <v>1.8834493405555</v>
      </c>
      <c r="I47" s="17">
        <v>0.0038336851981472</v>
      </c>
      <c r="J47" s="17">
        <v>2.31526071778034</v>
      </c>
      <c r="K47" s="17">
        <v>0.566922723181182</v>
      </c>
      <c r="L47" s="17">
        <v>0.00389472441874188</v>
      </c>
      <c r="M47" s="17">
        <v>0.00684527322081907</v>
      </c>
      <c r="N47" s="17">
        <v>0.301782131476454</v>
      </c>
      <c r="O47" s="17">
        <v>0.568965517241379</v>
      </c>
      <c r="P47" s="17">
        <v>1.88535190754251</v>
      </c>
      <c r="Q47" s="17">
        <v>0.00182894327562441</v>
      </c>
      <c r="R47" s="17">
        <v>1.61986545497462</v>
      </c>
      <c r="S47" s="17">
        <v>0.267183385764924</v>
      </c>
    </row>
    <row r="48">
      <c r="A48" s="16">
        <v>46.0</v>
      </c>
      <c r="B48" s="17" t="s">
        <v>793</v>
      </c>
      <c r="C48" s="17" t="s">
        <v>759</v>
      </c>
      <c r="D48" s="17">
        <v>0.00163227235630173</v>
      </c>
      <c r="E48" s="17">
        <v>0.0024484085344526</v>
      </c>
      <c r="F48" s="17">
        <v>7.39632332140224E-4</v>
      </c>
      <c r="G48" s="17">
        <v>0.666666666666666</v>
      </c>
      <c r="H48" s="17">
        <v>2.20686993438826</v>
      </c>
      <c r="I48" s="17">
        <v>0.00163046143418736</v>
      </c>
      <c r="J48" s="17">
        <v>2.99778110300357</v>
      </c>
      <c r="K48" s="17">
        <v>0.665927034334526</v>
      </c>
      <c r="L48" s="17">
        <v>0.00165230732916322</v>
      </c>
      <c r="M48" s="17">
        <v>0.00247846099374483</v>
      </c>
      <c r="N48" s="17">
        <v>0.301782131476454</v>
      </c>
      <c r="O48" s="17">
        <v>0.666666666666666</v>
      </c>
      <c r="P48" s="17">
        <v>2.20909920479728</v>
      </c>
      <c r="Q48" s="17">
        <v>9.04352087689655E-4</v>
      </c>
      <c r="R48" s="17">
        <v>2.09465360557063</v>
      </c>
      <c r="S48" s="17">
        <v>0.364884535190212</v>
      </c>
    </row>
    <row r="49">
      <c r="A49" s="16">
        <v>47.0</v>
      </c>
      <c r="B49" s="17" t="s">
        <v>804</v>
      </c>
      <c r="C49" s="17" t="s">
        <v>756</v>
      </c>
      <c r="D49" s="17">
        <v>0.00209863588667366</v>
      </c>
      <c r="E49" s="17">
        <v>0.00384749912556838</v>
      </c>
      <c r="F49" s="17">
        <v>1.50723995125449E-4</v>
      </c>
      <c r="G49" s="17">
        <v>0.545454545454545</v>
      </c>
      <c r="H49" s="17">
        <v>13.9237012987012</v>
      </c>
      <c r="I49" s="17">
        <v>0.00209805597623421</v>
      </c>
      <c r="J49" s="17">
        <v>2.19966840721072</v>
      </c>
      <c r="K49" s="17">
        <v>0.545303821459419</v>
      </c>
      <c r="L49" s="17">
        <v>0.00214336746844486</v>
      </c>
      <c r="M49" s="17">
        <v>0.00392950702548225</v>
      </c>
      <c r="N49" s="17">
        <v>0.0390569183138842</v>
      </c>
      <c r="O49" s="17">
        <v>0.545454545454545</v>
      </c>
      <c r="P49" s="17">
        <v>13.9656319290465</v>
      </c>
      <c r="Q49" s="17">
        <v>0.00198989303353677</v>
      </c>
      <c r="R49" s="17">
        <v>2.11407477970945</v>
      </c>
      <c r="S49" s="17">
        <v>0.506397627140661</v>
      </c>
    </row>
    <row r="50">
      <c r="A50" s="16">
        <v>48.0</v>
      </c>
      <c r="B50" s="17" t="s">
        <v>805</v>
      </c>
      <c r="C50" s="17" t="s">
        <v>771</v>
      </c>
      <c r="D50" s="17">
        <v>0.00104931794333683</v>
      </c>
      <c r="E50" s="17">
        <v>0.00209863588667366</v>
      </c>
      <c r="F50" s="17">
        <v>4.20852713661967E-4</v>
      </c>
      <c r="G50" s="17">
        <v>0.5</v>
      </c>
      <c r="H50" s="17">
        <v>2.49331395348837</v>
      </c>
      <c r="I50" s="17">
        <v>0.00104843472672893</v>
      </c>
      <c r="J50" s="17">
        <v>1.99915829457267</v>
      </c>
      <c r="K50" s="17">
        <v>0.499579147286338</v>
      </c>
      <c r="L50" s="17">
        <v>0.0017790077090334</v>
      </c>
      <c r="M50" s="17">
        <v>0.00355801541806681</v>
      </c>
      <c r="N50" s="17">
        <v>0.20853923700336</v>
      </c>
      <c r="O50" s="17">
        <v>0.5</v>
      </c>
      <c r="P50" s="17">
        <v>2.39763033175355</v>
      </c>
      <c r="Q50" s="17">
        <v>0.00103702188850356</v>
      </c>
      <c r="R50" s="17">
        <v>1.58292152599327</v>
      </c>
      <c r="S50" s="17">
        <v>0.291460762996639</v>
      </c>
    </row>
    <row r="51">
      <c r="A51" s="16">
        <v>49.0</v>
      </c>
      <c r="B51" s="17" t="s">
        <v>806</v>
      </c>
      <c r="C51" s="17" t="s">
        <v>759</v>
      </c>
      <c r="D51" s="17">
        <v>0.00443045353853328</v>
      </c>
      <c r="E51" s="17">
        <v>0.00886090707706657</v>
      </c>
      <c r="F51" s="17">
        <v>0.00267676463060271</v>
      </c>
      <c r="G51" s="17">
        <v>0.5</v>
      </c>
      <c r="H51" s="17">
        <v>1.6551524507912</v>
      </c>
      <c r="I51" s="17">
        <v>0.00440673497587433</v>
      </c>
      <c r="J51" s="17">
        <v>1.99464647073879</v>
      </c>
      <c r="K51" s="17">
        <v>0.497323235369397</v>
      </c>
      <c r="L51" s="17">
        <v>0.00751136588258549</v>
      </c>
      <c r="M51" s="17">
        <v>0.0150227317651709</v>
      </c>
      <c r="N51" s="17">
        <v>0.268630164064044</v>
      </c>
      <c r="O51" s="17">
        <v>0.5</v>
      </c>
      <c r="P51" s="17">
        <v>1.86129506990434</v>
      </c>
      <c r="Q51" s="17">
        <v>0.00347580698381748</v>
      </c>
      <c r="R51" s="17">
        <v>1.46273967187191</v>
      </c>
      <c r="S51" s="17">
        <v>0.231369835935955</v>
      </c>
    </row>
    <row r="52">
      <c r="A52" s="16">
        <v>50.0</v>
      </c>
      <c r="B52" s="17" t="s">
        <v>807</v>
      </c>
      <c r="C52" s="17" t="s">
        <v>759</v>
      </c>
      <c r="D52" s="17">
        <v>0.00501340795149819</v>
      </c>
      <c r="E52" s="17">
        <v>0.0080447708989157</v>
      </c>
      <c r="F52" s="17">
        <v>0.0024302205198893</v>
      </c>
      <c r="G52" s="17">
        <v>0.623188405797101</v>
      </c>
      <c r="H52" s="17">
        <v>2.06294363431946</v>
      </c>
      <c r="I52" s="17">
        <v>0.00499385738418184</v>
      </c>
      <c r="J52" s="17">
        <v>2.64739672246644</v>
      </c>
      <c r="K52" s="17">
        <v>0.620758185277212</v>
      </c>
      <c r="L52" s="17">
        <v>0.005022777712884</v>
      </c>
      <c r="M52" s="17">
        <v>0.00805980609741852</v>
      </c>
      <c r="N52" s="17">
        <v>0.302067515477163</v>
      </c>
      <c r="O52" s="17">
        <v>0.623188405797101</v>
      </c>
      <c r="P52" s="17">
        <v>2.06307654370803</v>
      </c>
      <c r="Q52" s="17">
        <v>0.00258817210980909</v>
      </c>
      <c r="R52" s="17">
        <v>1.85220543969521</v>
      </c>
      <c r="S52" s="17">
        <v>0.321120890319937</v>
      </c>
    </row>
    <row r="53">
      <c r="A53" s="16">
        <v>51.0</v>
      </c>
      <c r="B53" s="17" t="s">
        <v>808</v>
      </c>
      <c r="C53" s="17" t="s">
        <v>759</v>
      </c>
      <c r="D53" s="17">
        <v>0.00699545295557887</v>
      </c>
      <c r="E53" s="17">
        <v>0.0117756791418911</v>
      </c>
      <c r="F53" s="17">
        <v>0.00355727931172202</v>
      </c>
      <c r="G53" s="17">
        <v>0.594059405940594</v>
      </c>
      <c r="H53" s="17">
        <v>1.96651776331627</v>
      </c>
      <c r="I53" s="17">
        <v>0.00695356357578594</v>
      </c>
      <c r="J53" s="17">
        <v>2.4546515802321</v>
      </c>
      <c r="K53" s="17">
        <v>0.590502126628872</v>
      </c>
      <c r="L53" s="17">
        <v>0.00700689010860679</v>
      </c>
      <c r="M53" s="17">
        <v>0.0117949316828214</v>
      </c>
      <c r="N53" s="17">
        <v>0.302113745182763</v>
      </c>
      <c r="O53" s="17">
        <v>0.594059405940594</v>
      </c>
      <c r="P53" s="17">
        <v>1.96634352263985</v>
      </c>
      <c r="Q53" s="17">
        <v>0.00344347912373478</v>
      </c>
      <c r="R53" s="17">
        <v>1.71918321308636</v>
      </c>
      <c r="S53" s="17">
        <v>0.29194566075783</v>
      </c>
    </row>
    <row r="54">
      <c r="A54" s="16">
        <v>52.0</v>
      </c>
      <c r="B54" s="17" t="s">
        <v>805</v>
      </c>
      <c r="C54" s="17" t="s">
        <v>759</v>
      </c>
      <c r="D54" s="17">
        <v>0.00116590882592981</v>
      </c>
      <c r="E54" s="17">
        <v>0.00209863588667366</v>
      </c>
      <c r="F54" s="17">
        <v>6.33970570405906E-4</v>
      </c>
      <c r="G54" s="17">
        <v>0.555555555555555</v>
      </c>
      <c r="H54" s="17">
        <v>1.83905827865688</v>
      </c>
      <c r="I54" s="17">
        <v>0.00116457835253966</v>
      </c>
      <c r="J54" s="17">
        <v>2.24857356621658</v>
      </c>
      <c r="K54" s="17">
        <v>0.554921584985149</v>
      </c>
      <c r="L54" s="17">
        <v>0.00197667523225933</v>
      </c>
      <c r="M54" s="17">
        <v>0.00355801541806681</v>
      </c>
      <c r="N54" s="17">
        <v>0.268630164064044</v>
      </c>
      <c r="O54" s="17">
        <v>0.555555555555555</v>
      </c>
      <c r="P54" s="17">
        <v>2.06810563322704</v>
      </c>
      <c r="Q54" s="17">
        <v>0.00102088496676165</v>
      </c>
      <c r="R54" s="17">
        <v>1.6455821308559</v>
      </c>
      <c r="S54" s="17">
        <v>0.286925391491511</v>
      </c>
    </row>
    <row r="55">
      <c r="A55" s="16">
        <v>53.0</v>
      </c>
      <c r="B55" s="17" t="s">
        <v>809</v>
      </c>
      <c r="C55" s="17" t="s">
        <v>759</v>
      </c>
      <c r="D55" s="17">
        <v>0.00139909059111577</v>
      </c>
      <c r="E55" s="17">
        <v>0.00209863588667366</v>
      </c>
      <c r="F55" s="17">
        <v>6.33970570405906E-4</v>
      </c>
      <c r="G55" s="17">
        <v>0.666666666666666</v>
      </c>
      <c r="H55" s="17">
        <v>2.20686993438826</v>
      </c>
      <c r="I55" s="17">
        <v>0.00139776011772562</v>
      </c>
      <c r="J55" s="17">
        <v>2.99809808828878</v>
      </c>
      <c r="K55" s="17">
        <v>0.66603269609626</v>
      </c>
      <c r="L55" s="17">
        <v>0.0023720102787112</v>
      </c>
      <c r="M55" s="17">
        <v>0.00355801541806681</v>
      </c>
      <c r="N55" s="17">
        <v>0.268630164064044</v>
      </c>
      <c r="O55" s="17">
        <v>0.666666666666666</v>
      </c>
      <c r="P55" s="17">
        <v>2.48172675987245</v>
      </c>
      <c r="Q55" s="17">
        <v>0.00141622001321352</v>
      </c>
      <c r="R55" s="17">
        <v>2.19410950780786</v>
      </c>
      <c r="S55" s="17">
        <v>0.398036502602622</v>
      </c>
    </row>
    <row r="56">
      <c r="A56" s="16">
        <v>54.0</v>
      </c>
      <c r="B56" s="17" t="s">
        <v>810</v>
      </c>
      <c r="C56" s="17" t="s">
        <v>759</v>
      </c>
      <c r="D56" s="17">
        <v>0.00209863588667366</v>
      </c>
      <c r="E56" s="17">
        <v>0.00373090824297539</v>
      </c>
      <c r="F56" s="17">
        <v>0.00112705879183272</v>
      </c>
      <c r="G56" s="17">
        <v>0.5625</v>
      </c>
      <c r="H56" s="17">
        <v>1.8620465071401</v>
      </c>
      <c r="I56" s="17">
        <v>0.00209443093373689</v>
      </c>
      <c r="J56" s="17">
        <v>2.28313815133295</v>
      </c>
      <c r="K56" s="17">
        <v>0.561372941208167</v>
      </c>
      <c r="L56" s="17">
        <v>0.00210108556087311</v>
      </c>
      <c r="M56" s="17">
        <v>0.00373526321932998</v>
      </c>
      <c r="N56" s="17">
        <v>0.301972685887708</v>
      </c>
      <c r="O56" s="17">
        <v>0.5625</v>
      </c>
      <c r="P56" s="17">
        <v>1.8627512562814</v>
      </c>
      <c r="Q56" s="17">
        <v>9.73138094034472E-4</v>
      </c>
      <c r="R56" s="17">
        <v>1.59549100368523</v>
      </c>
      <c r="S56" s="17">
        <v>0.260527314112291</v>
      </c>
    </row>
    <row r="57">
      <c r="A57" s="16">
        <v>55.0</v>
      </c>
      <c r="B57" s="17" t="s">
        <v>811</v>
      </c>
      <c r="C57" s="17" t="s">
        <v>771</v>
      </c>
      <c r="D57" s="17">
        <v>0.00139909059111577</v>
      </c>
      <c r="E57" s="17">
        <v>0.00151568147370875</v>
      </c>
      <c r="F57" s="17">
        <v>3.03949182089199E-4</v>
      </c>
      <c r="G57" s="17">
        <v>0.923076923076923</v>
      </c>
      <c r="H57" s="17">
        <v>4.60304114490161</v>
      </c>
      <c r="I57" s="17">
        <v>0.00139862990097153</v>
      </c>
      <c r="J57" s="17">
        <v>12.9960486606328</v>
      </c>
      <c r="K57" s="17">
        <v>0.922772973894833</v>
      </c>
      <c r="L57" s="17">
        <v>0.00140433001755412</v>
      </c>
      <c r="M57" s="17">
        <v>0.00152135751901696</v>
      </c>
      <c r="N57" s="17">
        <v>0.200351082504388</v>
      </c>
      <c r="O57" s="17">
        <v>0.923076923076923</v>
      </c>
      <c r="P57" s="17">
        <v>4.60729690869877</v>
      </c>
      <c r="Q57" s="17">
        <v>0.00109952439174288</v>
      </c>
      <c r="R57" s="17">
        <v>10.3954359274429</v>
      </c>
      <c r="S57" s="17">
        <v>0.722725840572534</v>
      </c>
    </row>
    <row r="58">
      <c r="A58" s="16">
        <v>56.0</v>
      </c>
      <c r="B58" s="17" t="s">
        <v>812</v>
      </c>
      <c r="C58" s="17" t="s">
        <v>764</v>
      </c>
      <c r="D58" s="17">
        <v>0.00139909059111577</v>
      </c>
      <c r="E58" s="17">
        <v>0.00233181765185962</v>
      </c>
      <c r="F58" s="17">
        <v>5.91586243493825E-4</v>
      </c>
      <c r="G58" s="17">
        <v>0.6</v>
      </c>
      <c r="H58" s="17">
        <v>2.36498161764705</v>
      </c>
      <c r="I58" s="17">
        <v>0.00139771111987059</v>
      </c>
      <c r="J58" s="17">
        <v>2.49852103439126</v>
      </c>
      <c r="K58" s="17">
        <v>0.599408413756506</v>
      </c>
      <c r="L58" s="17">
        <v>0.00140433001755412</v>
      </c>
      <c r="M58" s="17">
        <v>0.00234055002925687</v>
      </c>
      <c r="N58" s="17">
        <v>0.254066705675833</v>
      </c>
      <c r="O58" s="17">
        <v>0.6</v>
      </c>
      <c r="P58" s="17">
        <v>2.36158452326116</v>
      </c>
      <c r="Q58" s="17">
        <v>8.09674182151354E-4</v>
      </c>
      <c r="R58" s="17">
        <v>1.86483323581041</v>
      </c>
      <c r="S58" s="17">
        <v>0.345933294324166</v>
      </c>
    </row>
    <row r="59">
      <c r="A59" s="16">
        <v>57.0</v>
      </c>
      <c r="B59" s="17" t="s">
        <v>813</v>
      </c>
      <c r="C59" s="17" t="s">
        <v>771</v>
      </c>
      <c r="D59" s="17">
        <v>0.00104931794333683</v>
      </c>
      <c r="E59" s="17">
        <v>0.00139909059111577</v>
      </c>
      <c r="F59" s="17">
        <v>2.80568475774645E-4</v>
      </c>
      <c r="G59" s="17">
        <v>0.75</v>
      </c>
      <c r="H59" s="17">
        <v>3.73997093023255</v>
      </c>
      <c r="I59" s="17">
        <v>0.00104892540262221</v>
      </c>
      <c r="J59" s="17">
        <v>3.9988777260969</v>
      </c>
      <c r="K59" s="17">
        <v>0.749719431524225</v>
      </c>
      <c r="L59" s="17">
        <v>0.00105324751316559</v>
      </c>
      <c r="M59" s="17">
        <v>0.00140433001755412</v>
      </c>
      <c r="N59" s="17">
        <v>0.200351082504388</v>
      </c>
      <c r="O59" s="17">
        <v>0.75</v>
      </c>
      <c r="P59" s="17">
        <v>3.74342873831775</v>
      </c>
      <c r="Q59" s="17">
        <v>7.71888473955218E-4</v>
      </c>
      <c r="R59" s="17">
        <v>3.19859566998244</v>
      </c>
      <c r="S59" s="17">
        <v>0.549648917495611</v>
      </c>
    </row>
    <row r="60">
      <c r="A60" s="16">
        <v>58.0</v>
      </c>
      <c r="B60" s="17" t="s">
        <v>814</v>
      </c>
      <c r="C60" s="17" t="s">
        <v>759</v>
      </c>
      <c r="D60" s="17">
        <v>0.00198204500408068</v>
      </c>
      <c r="E60" s="17">
        <v>0.00303136294741751</v>
      </c>
      <c r="F60" s="17">
        <v>9.15735268364086E-4</v>
      </c>
      <c r="G60" s="17">
        <v>0.653846153846154</v>
      </c>
      <c r="H60" s="17">
        <v>2.16443012795772</v>
      </c>
      <c r="I60" s="17">
        <v>0.00197926907811851</v>
      </c>
      <c r="J60" s="17">
        <v>2.88624343144694</v>
      </c>
      <c r="K60" s="17">
        <v>0.652930418577789</v>
      </c>
      <c r="L60" s="17">
        <v>0.00199039925067322</v>
      </c>
      <c r="M60" s="17">
        <v>0.0030441400304414</v>
      </c>
      <c r="N60" s="17">
        <v>0.301838192249151</v>
      </c>
      <c r="O60" s="17">
        <v>0.653846153846153</v>
      </c>
      <c r="P60" s="17">
        <v>2.16621411947245</v>
      </c>
      <c r="Q60" s="17">
        <v>0.00107156152693151</v>
      </c>
      <c r="R60" s="17">
        <v>2.016911889058</v>
      </c>
      <c r="S60" s="17">
        <v>0.352007961597002</v>
      </c>
    </row>
    <row r="61">
      <c r="A61" s="16">
        <v>59.0</v>
      </c>
      <c r="B61" s="17" t="s">
        <v>815</v>
      </c>
      <c r="C61" s="17" t="s">
        <v>764</v>
      </c>
      <c r="D61" s="17">
        <v>0.00104931794333683</v>
      </c>
      <c r="E61" s="17">
        <v>0.00198204500408068</v>
      </c>
      <c r="F61" s="17">
        <v>5.02848306969751E-4</v>
      </c>
      <c r="G61" s="17">
        <v>0.529411764705882</v>
      </c>
      <c r="H61" s="17">
        <v>2.08674848615916</v>
      </c>
      <c r="I61" s="17">
        <v>0.00104832127536219</v>
      </c>
      <c r="J61" s="17">
        <v>2.12393144734768</v>
      </c>
      <c r="K61" s="17">
        <v>0.528908916398912</v>
      </c>
      <c r="L61" s="17">
        <v>0.00105324751316559</v>
      </c>
      <c r="M61" s="17">
        <v>0.00198946752486834</v>
      </c>
      <c r="N61" s="17">
        <v>0.254066705675833</v>
      </c>
      <c r="O61" s="17">
        <v>0.529411764705882</v>
      </c>
      <c r="P61" s="17">
        <v>2.08375104993632</v>
      </c>
      <c r="Q61" s="17">
        <v>5.47790053073238E-4</v>
      </c>
      <c r="R61" s="17">
        <v>1.58510825043885</v>
      </c>
      <c r="S61" s="17">
        <v>0.275345059030048</v>
      </c>
    </row>
    <row r="62">
      <c r="A62" s="16">
        <v>60.0</v>
      </c>
      <c r="B62" s="17" t="s">
        <v>816</v>
      </c>
      <c r="C62" s="17" t="s">
        <v>764</v>
      </c>
      <c r="D62" s="17">
        <v>0.00116590882592981</v>
      </c>
      <c r="E62" s="17">
        <v>0.00221522676926664</v>
      </c>
      <c r="F62" s="17">
        <v>5.62006931319134E-4</v>
      </c>
      <c r="G62" s="17">
        <v>0.526315789473684</v>
      </c>
      <c r="H62" s="17">
        <v>2.07454527863777</v>
      </c>
      <c r="I62" s="17">
        <v>0.00116466385313104</v>
      </c>
      <c r="J62" s="17">
        <v>2.10992465203388</v>
      </c>
      <c r="K62" s="17">
        <v>0.525753782542365</v>
      </c>
      <c r="L62" s="17">
        <v>0.00117027501462843</v>
      </c>
      <c r="M62" s="17">
        <v>0.00222352252779403</v>
      </c>
      <c r="N62" s="17">
        <v>0.254066705675833</v>
      </c>
      <c r="O62" s="17">
        <v>0.526315789473684</v>
      </c>
      <c r="P62" s="17">
        <v>2.07156537128172</v>
      </c>
      <c r="Q62" s="17">
        <v>6.05351970995805E-4</v>
      </c>
      <c r="R62" s="17">
        <v>1.57474806579546</v>
      </c>
      <c r="S62" s="17">
        <v>0.27224908379785</v>
      </c>
    </row>
    <row r="63">
      <c r="A63" s="16">
        <v>61.0</v>
      </c>
      <c r="B63" s="17" t="s">
        <v>817</v>
      </c>
      <c r="C63" s="17" t="s">
        <v>759</v>
      </c>
      <c r="D63" s="17">
        <v>0.00116590882592981</v>
      </c>
      <c r="E63" s="17">
        <v>0.00233181765185962</v>
      </c>
      <c r="F63" s="17">
        <v>7.04411744895451E-4</v>
      </c>
      <c r="G63" s="17">
        <v>0.5</v>
      </c>
      <c r="H63" s="17">
        <v>1.6551524507912</v>
      </c>
      <c r="I63" s="17">
        <v>0.00116426626618888</v>
      </c>
      <c r="J63" s="17">
        <v>1.9985911765102</v>
      </c>
      <c r="K63" s="17">
        <v>0.499295588255104</v>
      </c>
      <c r="L63" s="17">
        <v>0.00117027501462843</v>
      </c>
      <c r="M63" s="17">
        <v>0.00234055002925687</v>
      </c>
      <c r="N63" s="17">
        <v>0.301930953774136</v>
      </c>
      <c r="O63" s="17">
        <v>0.5</v>
      </c>
      <c r="P63" s="17">
        <v>1.65600775193798</v>
      </c>
      <c r="Q63" s="17">
        <v>4.63590511938825E-4</v>
      </c>
      <c r="R63" s="17">
        <v>1.39613809245172</v>
      </c>
      <c r="S63" s="17">
        <v>0.198069046225863</v>
      </c>
    </row>
    <row r="64">
      <c r="A64" s="16">
        <v>62.0</v>
      </c>
      <c r="B64" s="17" t="s">
        <v>818</v>
      </c>
      <c r="C64" s="17" t="s">
        <v>759</v>
      </c>
      <c r="D64" s="17">
        <v>0.00174886323889471</v>
      </c>
      <c r="E64" s="17">
        <v>0.0024484085344526</v>
      </c>
      <c r="F64" s="17">
        <v>7.39632332140224E-4</v>
      </c>
      <c r="G64" s="17">
        <v>0.714285714285714</v>
      </c>
      <c r="H64" s="17">
        <v>2.36450350113028</v>
      </c>
      <c r="I64" s="17">
        <v>0.00174705231678034</v>
      </c>
      <c r="J64" s="17">
        <v>3.4974112868375</v>
      </c>
      <c r="K64" s="17">
        <v>0.713546081953574</v>
      </c>
      <c r="L64" s="17">
        <v>0.00175623463294696</v>
      </c>
      <c r="M64" s="17">
        <v>0.00245872848612574</v>
      </c>
      <c r="N64" s="17">
        <v>0.301838192249151</v>
      </c>
      <c r="O64" s="17">
        <v>0.714285714285714</v>
      </c>
      <c r="P64" s="17">
        <v>2.36645239942369</v>
      </c>
      <c r="Q64" s="17">
        <v>0.00101409647146327</v>
      </c>
      <c r="R64" s="17">
        <v>2.44356632712797</v>
      </c>
      <c r="S64" s="17">
        <v>0.412447522036563</v>
      </c>
    </row>
    <row r="65">
      <c r="A65" s="16">
        <v>63.0</v>
      </c>
      <c r="B65" s="17" t="s">
        <v>816</v>
      </c>
      <c r="C65" s="17" t="s">
        <v>771</v>
      </c>
      <c r="D65" s="17">
        <v>0.00116590882592981</v>
      </c>
      <c r="E65" s="17">
        <v>0.00221522676926664</v>
      </c>
      <c r="F65" s="17">
        <v>4.44233419976521E-4</v>
      </c>
      <c r="G65" s="17">
        <v>0.526315789473684</v>
      </c>
      <c r="H65" s="17">
        <v>2.62454100367197</v>
      </c>
      <c r="I65" s="17">
        <v>0.00116492474816607</v>
      </c>
      <c r="J65" s="17">
        <v>2.11017328500227</v>
      </c>
      <c r="K65" s="17">
        <v>0.525871556053707</v>
      </c>
      <c r="L65" s="17">
        <v>0.00117027501462843</v>
      </c>
      <c r="M65" s="17">
        <v>0.00222352252779403</v>
      </c>
      <c r="N65" s="17">
        <v>0.200351082504388</v>
      </c>
      <c r="O65" s="17">
        <v>0.526315789473684</v>
      </c>
      <c r="P65" s="17">
        <v>2.62696753566158</v>
      </c>
      <c r="Q65" s="17">
        <v>7.24789869212009E-4</v>
      </c>
      <c r="R65" s="17">
        <v>1.68814771471295</v>
      </c>
      <c r="S65" s="17">
        <v>0.325964706969295</v>
      </c>
    </row>
    <row r="66">
      <c r="A66" s="16">
        <v>64.0</v>
      </c>
      <c r="B66" s="17" t="s">
        <v>815</v>
      </c>
      <c r="C66" s="17" t="s">
        <v>759</v>
      </c>
      <c r="D66" s="17">
        <v>0.00116590882592981</v>
      </c>
      <c r="E66" s="17">
        <v>0.00198204500408068</v>
      </c>
      <c r="F66" s="17">
        <v>5.98749983161133E-4</v>
      </c>
      <c r="G66" s="17">
        <v>0.588235294117647</v>
      </c>
      <c r="H66" s="17">
        <v>1.94723817740141</v>
      </c>
      <c r="I66" s="17">
        <v>0.00116472207651699</v>
      </c>
      <c r="J66" s="17">
        <v>2.42711732146946</v>
      </c>
      <c r="K66" s="17">
        <v>0.587636544134486</v>
      </c>
      <c r="L66" s="17">
        <v>0.00117027501462843</v>
      </c>
      <c r="M66" s="17">
        <v>0.00198946752486834</v>
      </c>
      <c r="N66" s="17">
        <v>0.301930953774136</v>
      </c>
      <c r="O66" s="17">
        <v>0.588235294117647</v>
      </c>
      <c r="P66" s="17">
        <v>1.94824441404468</v>
      </c>
      <c r="Q66" s="17">
        <v>5.69593187342267E-4</v>
      </c>
      <c r="R66" s="17">
        <v>1.69531054083423</v>
      </c>
      <c r="S66" s="17">
        <v>0.28630434034351</v>
      </c>
    </row>
    <row r="67">
      <c r="A67" s="16">
        <v>65.0</v>
      </c>
      <c r="B67" s="17" t="s">
        <v>819</v>
      </c>
      <c r="C67" s="17" t="s">
        <v>764</v>
      </c>
      <c r="D67" s="17">
        <v>0.00104931794333683</v>
      </c>
      <c r="E67" s="17">
        <v>0.00174886323889471</v>
      </c>
      <c r="F67" s="17">
        <v>4.43689682620369E-4</v>
      </c>
      <c r="G67" s="17">
        <v>0.6</v>
      </c>
      <c r="H67" s="17">
        <v>2.36498161764705</v>
      </c>
      <c r="I67" s="17">
        <v>0.00104854199076141</v>
      </c>
      <c r="J67" s="17">
        <v>2.49889077579344</v>
      </c>
      <c r="K67" s="17">
        <v>0.599556310317379</v>
      </c>
      <c r="L67" s="17">
        <v>0.00106698280972139</v>
      </c>
      <c r="M67" s="17">
        <v>0.00177830468286899</v>
      </c>
      <c r="N67" s="17">
        <v>0.252993479549496</v>
      </c>
      <c r="O67" s="17">
        <v>0.6</v>
      </c>
      <c r="P67" s="17">
        <v>2.37160262417994</v>
      </c>
      <c r="Q67" s="17">
        <v>6.17083320303207E-4</v>
      </c>
      <c r="R67" s="17">
        <v>1.86751630112625</v>
      </c>
      <c r="S67" s="17">
        <v>0.347006520450503</v>
      </c>
    </row>
    <row r="68">
      <c r="A68" s="16">
        <v>66.0</v>
      </c>
      <c r="B68" s="17" t="s">
        <v>820</v>
      </c>
      <c r="C68" s="17" t="s">
        <v>764</v>
      </c>
      <c r="D68" s="17">
        <v>0.00128249970852279</v>
      </c>
      <c r="E68" s="17">
        <v>0.00221522676926664</v>
      </c>
      <c r="F68" s="17">
        <v>5.62006931319134E-4</v>
      </c>
      <c r="G68" s="17">
        <v>0.578947368421052</v>
      </c>
      <c r="H68" s="17">
        <v>2.28199980650154</v>
      </c>
      <c r="I68" s="17">
        <v>0.00128125473572402</v>
      </c>
      <c r="J68" s="17">
        <v>2.37366523353811</v>
      </c>
      <c r="K68" s="17">
        <v>0.578385361489733</v>
      </c>
      <c r="L68" s="17">
        <v>0.00130331753554502</v>
      </c>
      <c r="M68" s="17">
        <v>0.00225118483412322</v>
      </c>
      <c r="N68" s="17">
        <v>0.252962085308056</v>
      </c>
      <c r="O68" s="17">
        <v>0.578947368421052</v>
      </c>
      <c r="P68" s="17">
        <v>2.28867250092444</v>
      </c>
      <c r="Q68" s="17">
        <v>7.33853125491341E-4</v>
      </c>
      <c r="R68" s="17">
        <v>1.77421504739336</v>
      </c>
      <c r="S68" s="17">
        <v>0.325985283112995</v>
      </c>
    </row>
    <row r="69">
      <c r="A69" s="16">
        <v>67.0</v>
      </c>
      <c r="B69" s="17" t="s">
        <v>821</v>
      </c>
      <c r="C69" s="17" t="s">
        <v>764</v>
      </c>
      <c r="D69" s="17">
        <v>0.00186545412148769</v>
      </c>
      <c r="E69" s="17">
        <v>0.00361431736038241</v>
      </c>
      <c r="F69" s="17">
        <v>9.16958677415429E-4</v>
      </c>
      <c r="G69" s="17">
        <v>0.516129032258064</v>
      </c>
      <c r="H69" s="17">
        <v>2.03439278937381</v>
      </c>
      <c r="I69" s="17">
        <v>0.00186213994182116</v>
      </c>
      <c r="J69" s="17">
        <v>2.06477161873334</v>
      </c>
      <c r="K69" s="17">
        <v>0.515212073580649</v>
      </c>
      <c r="L69" s="17">
        <v>0.00189461219656601</v>
      </c>
      <c r="M69" s="17">
        <v>0.00367081113084665</v>
      </c>
      <c r="N69" s="17">
        <v>0.252812314979277</v>
      </c>
      <c r="O69" s="17">
        <v>0.516129032258064</v>
      </c>
      <c r="P69" s="17">
        <v>2.04155020019641</v>
      </c>
      <c r="Q69" s="17">
        <v>9.66585936724972E-4</v>
      </c>
      <c r="R69" s="17">
        <v>1.54418788237615</v>
      </c>
      <c r="S69" s="17">
        <v>0.263316717278786</v>
      </c>
    </row>
    <row r="70">
      <c r="A70" s="16">
        <v>68.0</v>
      </c>
      <c r="B70" s="17" t="s">
        <v>822</v>
      </c>
      <c r="C70" s="17" t="s">
        <v>759</v>
      </c>
      <c r="D70" s="17">
        <v>0.00128249970852279</v>
      </c>
      <c r="E70" s="17">
        <v>0.00221522676926664</v>
      </c>
      <c r="F70" s="17">
        <v>6.69191157650678E-4</v>
      </c>
      <c r="G70" s="17">
        <v>0.578947368421052</v>
      </c>
      <c r="H70" s="17">
        <v>1.91649231144244</v>
      </c>
      <c r="I70" s="17">
        <v>0.0012810172983566</v>
      </c>
      <c r="J70" s="17">
        <v>2.37341067100058</v>
      </c>
      <c r="K70" s="17">
        <v>0.578278177263402</v>
      </c>
      <c r="L70" s="17">
        <v>0.00130331753554502</v>
      </c>
      <c r="M70" s="17">
        <v>0.00225118483412322</v>
      </c>
      <c r="N70" s="17">
        <v>0.301540284360189</v>
      </c>
      <c r="O70" s="17">
        <v>0.578947368421052</v>
      </c>
      <c r="P70" s="17">
        <v>1.91996691138455</v>
      </c>
      <c r="Q70" s="17">
        <v>6.24494620516161E-4</v>
      </c>
      <c r="R70" s="17">
        <v>1.65884182464455</v>
      </c>
      <c r="S70" s="17">
        <v>0.277407084060863</v>
      </c>
    </row>
    <row r="71">
      <c r="A71" s="16">
        <v>69.0</v>
      </c>
      <c r="B71" s="17" t="s">
        <v>823</v>
      </c>
      <c r="C71" s="17" t="s">
        <v>764</v>
      </c>
      <c r="D71" s="17">
        <v>0.00128249970852279</v>
      </c>
      <c r="E71" s="17">
        <v>0.00256499941704558</v>
      </c>
      <c r="F71" s="17">
        <v>6.50744867843208E-4</v>
      </c>
      <c r="G71" s="17">
        <v>0.5</v>
      </c>
      <c r="H71" s="17">
        <v>1.97081801470588</v>
      </c>
      <c r="I71" s="17">
        <v>0.00128083054831613</v>
      </c>
      <c r="J71" s="17">
        <v>1.99869851026431</v>
      </c>
      <c r="K71" s="17">
        <v>0.499349255132156</v>
      </c>
      <c r="L71" s="17">
        <v>0.00130750029715915</v>
      </c>
      <c r="M71" s="17">
        <v>0.00261500059431831</v>
      </c>
      <c r="N71" s="17">
        <v>0.253060739331986</v>
      </c>
      <c r="O71" s="17">
        <v>0.5</v>
      </c>
      <c r="P71" s="17">
        <v>1.97581023954908</v>
      </c>
      <c r="Q71" s="17">
        <v>6.45746313407381E-4</v>
      </c>
      <c r="R71" s="17">
        <v>1.49387852133602</v>
      </c>
      <c r="S71" s="17">
        <v>0.246939260668013</v>
      </c>
    </row>
    <row r="72">
      <c r="A72" s="16">
        <v>70.0</v>
      </c>
      <c r="B72" s="17" t="s">
        <v>824</v>
      </c>
      <c r="C72" s="17" t="s">
        <v>757</v>
      </c>
      <c r="D72" s="17">
        <v>0.00128249970852279</v>
      </c>
      <c r="E72" s="17">
        <v>0.00151568147370875</v>
      </c>
      <c r="F72" s="17">
        <v>2.97410740381466E-4</v>
      </c>
      <c r="G72" s="17">
        <v>0.846153846153846</v>
      </c>
      <c r="H72" s="17">
        <v>4.31221719457013</v>
      </c>
      <c r="I72" s="17">
        <v>0.00128204892857351</v>
      </c>
      <c r="J72" s="17">
        <v>6.49806683018752</v>
      </c>
      <c r="K72" s="17">
        <v>0.845856435413464</v>
      </c>
      <c r="L72" s="17">
        <v>0.00130750029715915</v>
      </c>
      <c r="M72" s="17">
        <v>0.00154522762391536</v>
      </c>
      <c r="N72" s="17">
        <v>0.19446095328658</v>
      </c>
      <c r="O72" s="17">
        <v>0.846153846153846</v>
      </c>
      <c r="P72" s="17">
        <v>4.35127891668234</v>
      </c>
      <c r="Q72" s="17">
        <v>0.00100701386036781</v>
      </c>
      <c r="R72" s="17">
        <v>5.23600380363722</v>
      </c>
      <c r="S72" s="17">
        <v>0.651692892867265</v>
      </c>
    </row>
    <row r="73">
      <c r="A73" s="16">
        <v>71.0</v>
      </c>
      <c r="B73" s="17" t="s">
        <v>825</v>
      </c>
      <c r="C73" s="17" t="s">
        <v>759</v>
      </c>
      <c r="D73" s="17">
        <v>0.00536318059927713</v>
      </c>
      <c r="E73" s="17">
        <v>0.00816136178150868</v>
      </c>
      <c r="F73" s="17">
        <v>0.00246544110713408</v>
      </c>
      <c r="G73" s="17">
        <v>0.657142857142857</v>
      </c>
      <c r="H73" s="17">
        <v>2.17534322103986</v>
      </c>
      <c r="I73" s="17">
        <v>0.00534305924245081</v>
      </c>
      <c r="J73" s="17">
        <v>2.90947579677085</v>
      </c>
      <c r="K73" s="17">
        <v>0.654677416035722</v>
      </c>
      <c r="L73" s="17">
        <v>0.00545346769413159</v>
      </c>
      <c r="M73" s="17">
        <v>0.00829875518672199</v>
      </c>
      <c r="N73" s="17">
        <v>0.301600474214582</v>
      </c>
      <c r="O73" s="17">
        <v>0.657142857142857</v>
      </c>
      <c r="P73" s="17">
        <v>2.17885220125786</v>
      </c>
      <c r="Q73" s="17">
        <v>0.00295055919442551</v>
      </c>
      <c r="R73" s="17">
        <v>2.03699861687413</v>
      </c>
      <c r="S73" s="17">
        <v>0.355542382928275</v>
      </c>
    </row>
    <row r="74">
      <c r="A74" s="16">
        <v>72.0</v>
      </c>
      <c r="B74" s="17" t="s">
        <v>826</v>
      </c>
      <c r="C74" s="17" t="s">
        <v>764</v>
      </c>
      <c r="D74" s="17">
        <v>0.00104931794333683</v>
      </c>
      <c r="E74" s="17">
        <v>0.00174886323889471</v>
      </c>
      <c r="F74" s="17">
        <v>4.43689682620369E-4</v>
      </c>
      <c r="G74" s="17">
        <v>0.6</v>
      </c>
      <c r="H74" s="17">
        <v>2.36498161764705</v>
      </c>
      <c r="I74" s="17">
        <v>0.00104854199076141</v>
      </c>
      <c r="J74" s="17">
        <v>2.49889077579344</v>
      </c>
      <c r="K74" s="17">
        <v>0.599556310317379</v>
      </c>
      <c r="L74" s="17">
        <v>0.00106635071090047</v>
      </c>
      <c r="M74" s="17">
        <v>0.00177725118483412</v>
      </c>
      <c r="N74" s="17">
        <v>0.252962085308056</v>
      </c>
      <c r="O74" s="17">
        <v>0.6</v>
      </c>
      <c r="P74" s="17">
        <v>2.37189695550351</v>
      </c>
      <c r="Q74" s="17">
        <v>6.16773545068619E-4</v>
      </c>
      <c r="R74" s="17">
        <v>1.86759478672985</v>
      </c>
      <c r="S74" s="17">
        <v>0.347037914691943</v>
      </c>
    </row>
    <row r="75">
      <c r="A75" s="16">
        <v>73.0</v>
      </c>
      <c r="B75" s="17" t="s">
        <v>827</v>
      </c>
      <c r="C75" s="17" t="s">
        <v>764</v>
      </c>
      <c r="D75" s="17">
        <v>0.00104931794333683</v>
      </c>
      <c r="E75" s="17">
        <v>0.00186545412148769</v>
      </c>
      <c r="F75" s="17">
        <v>4.7326899479506E-4</v>
      </c>
      <c r="G75" s="17">
        <v>0.5625</v>
      </c>
      <c r="H75" s="17">
        <v>2.21717026654411</v>
      </c>
      <c r="I75" s="17">
        <v>0.00104843508173991</v>
      </c>
      <c r="J75" s="17">
        <v>2.28463252801189</v>
      </c>
      <c r="K75" s="17">
        <v>0.562026731005205</v>
      </c>
      <c r="L75" s="17">
        <v>0.00181634712411705</v>
      </c>
      <c r="M75" s="17">
        <v>0.00322906155398587</v>
      </c>
      <c r="N75" s="17">
        <v>0.215943491422805</v>
      </c>
      <c r="O75" s="17">
        <v>0.5625</v>
      </c>
      <c r="P75" s="17">
        <v>2.60484813084112</v>
      </c>
      <c r="Q75" s="17">
        <v>0.00111905229813019</v>
      </c>
      <c r="R75" s="17">
        <v>1.79212916246215</v>
      </c>
      <c r="S75" s="17">
        <v>0.346556508577194</v>
      </c>
    </row>
    <row r="76">
      <c r="A76" s="16">
        <v>74.0</v>
      </c>
      <c r="B76" s="17" t="s">
        <v>828</v>
      </c>
      <c r="C76" s="17" t="s">
        <v>759</v>
      </c>
      <c r="D76" s="17">
        <v>0.00104931794333683</v>
      </c>
      <c r="E76" s="17">
        <v>0.00163227235630173</v>
      </c>
      <c r="F76" s="17">
        <v>4.93088221426815E-4</v>
      </c>
      <c r="G76" s="17">
        <v>0.642857142857142</v>
      </c>
      <c r="H76" s="17">
        <v>2.12805315101725</v>
      </c>
      <c r="I76" s="17">
        <v>0.00104851308906377</v>
      </c>
      <c r="J76" s="17">
        <v>2.79861935298</v>
      </c>
      <c r="K76" s="17">
        <v>0.642364054635716</v>
      </c>
      <c r="L76" s="17">
        <v>0.00181634712411705</v>
      </c>
      <c r="M76" s="17">
        <v>0.00282542885973763</v>
      </c>
      <c r="N76" s="17">
        <v>0.267608476286579</v>
      </c>
      <c r="O76" s="17">
        <v>0.642857142857142</v>
      </c>
      <c r="P76" s="17">
        <v>2.40223012281835</v>
      </c>
      <c r="Q76" s="17">
        <v>0.00106023841210653</v>
      </c>
      <c r="R76" s="17">
        <v>2.05069626639757</v>
      </c>
      <c r="S76" s="17">
        <v>0.375248666570563</v>
      </c>
    </row>
    <row r="77">
      <c r="A77" s="16">
        <v>75.0</v>
      </c>
      <c r="B77" s="17" t="s">
        <v>829</v>
      </c>
      <c r="C77" s="17" t="s">
        <v>764</v>
      </c>
      <c r="D77" s="17">
        <v>0.00104931794333683</v>
      </c>
      <c r="E77" s="17">
        <v>0.00209863588667366</v>
      </c>
      <c r="F77" s="17">
        <v>5.32427619144443E-4</v>
      </c>
      <c r="G77" s="17">
        <v>0.5</v>
      </c>
      <c r="H77" s="17">
        <v>1.97081801470588</v>
      </c>
      <c r="I77" s="17">
        <v>0.00104820057162823</v>
      </c>
      <c r="J77" s="17">
        <v>1.99893514476171</v>
      </c>
      <c r="K77" s="17">
        <v>0.499467572380855</v>
      </c>
      <c r="L77" s="17">
        <v>0.00106546702971469</v>
      </c>
      <c r="M77" s="17">
        <v>0.00213093405942938</v>
      </c>
      <c r="N77" s="17">
        <v>0.252752456493429</v>
      </c>
      <c r="O77" s="17">
        <v>0.5</v>
      </c>
      <c r="P77" s="17">
        <v>1.97822014051522</v>
      </c>
      <c r="Q77" s="17">
        <v>5.26868211568399E-4</v>
      </c>
      <c r="R77" s="17">
        <v>1.49449508701314</v>
      </c>
      <c r="S77" s="17">
        <v>0.24724754350657</v>
      </c>
    </row>
    <row r="78">
      <c r="A78" s="16">
        <v>76.0</v>
      </c>
      <c r="B78" s="17" t="s">
        <v>830</v>
      </c>
      <c r="C78" s="17" t="s">
        <v>759</v>
      </c>
      <c r="D78" s="17">
        <v>0.00104931794333683</v>
      </c>
      <c r="E78" s="17">
        <v>0.00128249970852279</v>
      </c>
      <c r="F78" s="17">
        <v>3.87426459692498E-4</v>
      </c>
      <c r="G78" s="17">
        <v>0.818181818181818</v>
      </c>
      <c r="H78" s="17">
        <v>2.70843128311287</v>
      </c>
      <c r="I78" s="17">
        <v>0.0010488210690152</v>
      </c>
      <c r="J78" s="17">
        <v>5.49786915447169</v>
      </c>
      <c r="K78" s="17">
        <v>0.817794391722125</v>
      </c>
      <c r="L78" s="17">
        <v>0.00106546702971469</v>
      </c>
      <c r="M78" s="17">
        <v>0.0013022374807624</v>
      </c>
      <c r="N78" s="17">
        <v>0.30129039895821</v>
      </c>
      <c r="O78" s="17">
        <v>0.818181818181818</v>
      </c>
      <c r="P78" s="17">
        <v>2.7155920700125</v>
      </c>
      <c r="Q78" s="17">
        <v>6.73115379597453E-4</v>
      </c>
      <c r="R78" s="17">
        <v>3.84290280572984</v>
      </c>
      <c r="S78" s="17">
        <v>0.516891419223608</v>
      </c>
    </row>
    <row r="79">
      <c r="A79" s="16">
        <v>77.0</v>
      </c>
      <c r="B79" s="17" t="s">
        <v>831</v>
      </c>
      <c r="C79" s="17" t="s">
        <v>759</v>
      </c>
      <c r="D79" s="17">
        <v>0.00104931794333683</v>
      </c>
      <c r="E79" s="17">
        <v>0.00186545412148769</v>
      </c>
      <c r="F79" s="17">
        <v>5.63529395916361E-4</v>
      </c>
      <c r="G79" s="17">
        <v>0.5625</v>
      </c>
      <c r="H79" s="17">
        <v>1.8620465071401</v>
      </c>
      <c r="I79" s="17">
        <v>0.00104826670510263</v>
      </c>
      <c r="J79" s="17">
        <v>2.28442621852362</v>
      </c>
      <c r="K79" s="17">
        <v>0.561936470604083</v>
      </c>
      <c r="L79" s="17">
        <v>0.0010653409090909</v>
      </c>
      <c r="M79" s="17">
        <v>0.00189393939393939</v>
      </c>
      <c r="N79" s="17">
        <v>0.301373106060606</v>
      </c>
      <c r="O79" s="17">
        <v>0.5625</v>
      </c>
      <c r="P79" s="17">
        <v>1.86645718774548</v>
      </c>
      <c r="Q79" s="17">
        <v>4.94558511248852E-4</v>
      </c>
      <c r="R79" s="17">
        <v>1.59686147186147</v>
      </c>
      <c r="S79" s="17">
        <v>0.261126893939393</v>
      </c>
    </row>
    <row r="80">
      <c r="A80" s="16">
        <v>78.0</v>
      </c>
      <c r="B80" s="17" t="s">
        <v>832</v>
      </c>
      <c r="C80" s="17" t="s">
        <v>757</v>
      </c>
      <c r="D80" s="17">
        <v>0.00186545412148769</v>
      </c>
      <c r="E80" s="17">
        <v>0.00221522676926664</v>
      </c>
      <c r="F80" s="17">
        <v>4.34677235942143E-4</v>
      </c>
      <c r="G80" s="17">
        <v>0.842105263157894</v>
      </c>
      <c r="H80" s="17">
        <v>4.29158457641429</v>
      </c>
      <c r="I80" s="17">
        <v>0.00186449121283864</v>
      </c>
      <c r="J80" s="17">
        <v>6.33058037750569</v>
      </c>
      <c r="K80" s="17">
        <v>0.841670585921952</v>
      </c>
      <c r="L80" s="17">
        <v>0.00190181861404968</v>
      </c>
      <c r="M80" s="17">
        <v>0.002258409604184</v>
      </c>
      <c r="N80" s="17">
        <v>0.19446095328658</v>
      </c>
      <c r="O80" s="17">
        <v>0.842105263157894</v>
      </c>
      <c r="P80" s="17">
        <v>4.33045940033457</v>
      </c>
      <c r="Q80" s="17">
        <v>0.00146264612950849</v>
      </c>
      <c r="R80" s="17">
        <v>5.10174729585165</v>
      </c>
      <c r="S80" s="17">
        <v>0.647644309871314</v>
      </c>
    </row>
    <row r="81">
      <c r="A81" s="16">
        <v>79.0</v>
      </c>
      <c r="B81" s="17" t="s">
        <v>823</v>
      </c>
      <c r="C81" s="17" t="s">
        <v>759</v>
      </c>
      <c r="D81" s="17">
        <v>0.00186545412148769</v>
      </c>
      <c r="E81" s="17">
        <v>0.00256499941704558</v>
      </c>
      <c r="F81" s="17">
        <v>7.74852919384996E-4</v>
      </c>
      <c r="G81" s="17">
        <v>0.727272727272727</v>
      </c>
      <c r="H81" s="17">
        <v>2.40749447387811</v>
      </c>
      <c r="I81" s="17">
        <v>0.00186346662420118</v>
      </c>
      <c r="J81" s="17">
        <v>3.66382553929558</v>
      </c>
      <c r="K81" s="17">
        <v>0.726497874353342</v>
      </c>
      <c r="L81" s="17">
        <v>0.00190181861404968</v>
      </c>
      <c r="M81" s="17">
        <v>0.00261500059431831</v>
      </c>
      <c r="N81" s="17">
        <v>0.301557113990253</v>
      </c>
      <c r="O81" s="17">
        <v>0.727272727272727</v>
      </c>
      <c r="P81" s="17">
        <v>2.41172465689611</v>
      </c>
      <c r="Q81" s="17">
        <v>0.00111324658174425</v>
      </c>
      <c r="R81" s="17">
        <v>2.5609572487024</v>
      </c>
      <c r="S81" s="17">
        <v>0.425715613282474</v>
      </c>
    </row>
    <row r="82">
      <c r="A82" s="16">
        <v>80.0</v>
      </c>
      <c r="B82" s="17" t="s">
        <v>766</v>
      </c>
      <c r="C82" s="17" t="s">
        <v>833</v>
      </c>
      <c r="D82" s="17">
        <v>0.00186545412148769</v>
      </c>
      <c r="E82" s="17">
        <v>0.00349772647778943</v>
      </c>
      <c r="F82" s="17">
        <v>3.14008323178018E-4</v>
      </c>
      <c r="G82" s="17">
        <v>0.533333333333333</v>
      </c>
      <c r="H82" s="17">
        <v>5.94077922077922</v>
      </c>
      <c r="I82" s="17">
        <v>0.00186435580626147</v>
      </c>
      <c r="J82" s="17">
        <v>2.1421842678789</v>
      </c>
      <c r="K82" s="17">
        <v>0.533019325010155</v>
      </c>
      <c r="L82" s="17">
        <v>0.00190181861404968</v>
      </c>
      <c r="M82" s="17">
        <v>0.00356590990134315</v>
      </c>
      <c r="N82" s="17">
        <v>0.0886722928800665</v>
      </c>
      <c r="O82" s="17">
        <v>0.533333333333333</v>
      </c>
      <c r="P82" s="17">
        <v>6.01465594280607</v>
      </c>
      <c r="Q82" s="17">
        <v>0.00158562120689385</v>
      </c>
      <c r="R82" s="17">
        <v>1.95284508668557</v>
      </c>
      <c r="S82" s="17">
        <v>0.444661040453266</v>
      </c>
    </row>
    <row r="83">
      <c r="A83" s="16">
        <v>81.0</v>
      </c>
      <c r="B83" s="17" t="s">
        <v>834</v>
      </c>
      <c r="C83" s="17" t="s">
        <v>759</v>
      </c>
      <c r="D83" s="17">
        <v>0.0024484085344526</v>
      </c>
      <c r="E83" s="17">
        <v>0.00349772647778943</v>
      </c>
      <c r="F83" s="17">
        <v>0.00105661761734317</v>
      </c>
      <c r="G83" s="17">
        <v>0.7</v>
      </c>
      <c r="H83" s="17">
        <v>2.31721343110768</v>
      </c>
      <c r="I83" s="17">
        <v>0.00244471277503552</v>
      </c>
      <c r="J83" s="17">
        <v>3.32981127460885</v>
      </c>
      <c r="K83" s="17">
        <v>0.698943382382656</v>
      </c>
      <c r="L83" s="17">
        <v>0.00248962655601659</v>
      </c>
      <c r="M83" s="17">
        <v>0.00355660936573799</v>
      </c>
      <c r="N83" s="17">
        <v>0.301600474214582</v>
      </c>
      <c r="O83" s="17">
        <v>0.7</v>
      </c>
      <c r="P83" s="17">
        <v>2.32095125786163</v>
      </c>
      <c r="Q83" s="17">
        <v>0.00141695148471399</v>
      </c>
      <c r="R83" s="17">
        <v>2.32799841928472</v>
      </c>
      <c r="S83" s="17">
        <v>0.398399525785417</v>
      </c>
    </row>
    <row r="84">
      <c r="A84" s="16">
        <v>82.0</v>
      </c>
      <c r="B84" s="17" t="s">
        <v>835</v>
      </c>
      <c r="C84" s="17" t="s">
        <v>759</v>
      </c>
      <c r="D84" s="17">
        <v>0.00139909059111577</v>
      </c>
      <c r="E84" s="17">
        <v>0.00186545412148769</v>
      </c>
      <c r="F84" s="17">
        <v>5.63529395916361E-4</v>
      </c>
      <c r="G84" s="17">
        <v>0.75</v>
      </c>
      <c r="H84" s="17">
        <v>2.4827286761868</v>
      </c>
      <c r="I84" s="17">
        <v>0.00139803935288158</v>
      </c>
      <c r="J84" s="17">
        <v>3.99774588241633</v>
      </c>
      <c r="K84" s="17">
        <v>0.749436470604083</v>
      </c>
      <c r="L84" s="17">
        <v>0.00142180094786729</v>
      </c>
      <c r="M84" s="17">
        <v>0.00189573459715639</v>
      </c>
      <c r="N84" s="17">
        <v>0.301540284360189</v>
      </c>
      <c r="O84" s="17">
        <v>0.75</v>
      </c>
      <c r="P84" s="17">
        <v>2.48722986247544</v>
      </c>
      <c r="Q84" s="17">
        <v>8.50160598369308E-4</v>
      </c>
      <c r="R84" s="17">
        <v>2.79383886255924</v>
      </c>
      <c r="S84" s="17">
        <v>0.44845971563981</v>
      </c>
    </row>
    <row r="85">
      <c r="A85" s="16">
        <v>83.0</v>
      </c>
      <c r="B85" s="17" t="s">
        <v>836</v>
      </c>
      <c r="C85" s="17" t="s">
        <v>759</v>
      </c>
      <c r="D85" s="17">
        <v>0.00116590882592981</v>
      </c>
      <c r="E85" s="17">
        <v>0.00186545412148769</v>
      </c>
      <c r="F85" s="17">
        <v>5.63529395916361E-4</v>
      </c>
      <c r="G85" s="17">
        <v>0.625</v>
      </c>
      <c r="H85" s="17">
        <v>2.068940563489</v>
      </c>
      <c r="I85" s="17">
        <v>0.00116485758769562</v>
      </c>
      <c r="J85" s="17">
        <v>2.66516392161089</v>
      </c>
      <c r="K85" s="17">
        <v>0.624436470604083</v>
      </c>
      <c r="L85" s="17">
        <v>0.00116904372223521</v>
      </c>
      <c r="M85" s="17">
        <v>0.00187046995557633</v>
      </c>
      <c r="N85" s="17">
        <v>0.301847089081131</v>
      </c>
      <c r="O85" s="17">
        <v>625.0</v>
      </c>
      <c r="P85" s="17">
        <v>2.07058481797056</v>
      </c>
      <c r="Q85" s="17">
        <v>6.0444781093078E-4</v>
      </c>
      <c r="R85" s="17">
        <v>1.86174109578364</v>
      </c>
      <c r="S85" s="17">
        <v>0.323152910918868</v>
      </c>
    </row>
    <row r="86">
      <c r="A86" s="16">
        <v>84.0</v>
      </c>
      <c r="B86" s="17" t="s">
        <v>837</v>
      </c>
      <c r="C86" s="17" t="s">
        <v>771</v>
      </c>
      <c r="D86" s="17">
        <v>0.00163227235630173</v>
      </c>
      <c r="E86" s="17">
        <v>0.00326454471260347</v>
      </c>
      <c r="F86" s="17">
        <v>6.54659776807505E-4</v>
      </c>
      <c r="G86" s="17">
        <v>0.5</v>
      </c>
      <c r="H86" s="17">
        <v>2.49331395348837</v>
      </c>
      <c r="I86" s="17">
        <v>0.0016301351901888</v>
      </c>
      <c r="J86" s="17">
        <v>1.99869068044638</v>
      </c>
      <c r="K86" s="17">
        <v>0.499345340223192</v>
      </c>
      <c r="L86" s="17">
        <v>0.00163666121112929</v>
      </c>
      <c r="M86" s="17">
        <v>0.00327332242225859</v>
      </c>
      <c r="N86" s="17">
        <v>0.200490998363338</v>
      </c>
      <c r="O86" s="17">
        <v>0.5</v>
      </c>
      <c r="P86" s="17">
        <v>2.4938775510204</v>
      </c>
      <c r="Q86" s="17">
        <v>9.80389530725568E-4</v>
      </c>
      <c r="R86" s="17">
        <v>1.59901800327332</v>
      </c>
      <c r="S86" s="17">
        <v>0.299509001636661</v>
      </c>
    </row>
    <row r="87">
      <c r="A87" s="16">
        <v>85.0</v>
      </c>
      <c r="B87" s="17" t="s">
        <v>838</v>
      </c>
      <c r="C87" s="17" t="s">
        <v>771</v>
      </c>
      <c r="D87" s="17">
        <v>0.00104931794333683</v>
      </c>
      <c r="E87" s="17">
        <v>0.00198204500408068</v>
      </c>
      <c r="F87" s="17">
        <v>3.97472007347414E-4</v>
      </c>
      <c r="G87" s="17">
        <v>0.529411764705882</v>
      </c>
      <c r="H87" s="17">
        <v>2.63997948016415</v>
      </c>
      <c r="I87" s="17">
        <v>0.0010485301359304</v>
      </c>
      <c r="J87" s="17">
        <v>2.12415537198438</v>
      </c>
      <c r="K87" s="17">
        <v>0.529014292698535</v>
      </c>
      <c r="L87" s="17">
        <v>0.00105213935001169</v>
      </c>
      <c r="M87" s="17">
        <v>0.00198737432779986</v>
      </c>
      <c r="N87" s="17">
        <v>0.200490998363338</v>
      </c>
      <c r="O87" s="17">
        <v>0.529411764705882</v>
      </c>
      <c r="P87" s="17">
        <v>2.64057623049219</v>
      </c>
      <c r="Q87" s="17">
        <v>6.53688686909427E-4</v>
      </c>
      <c r="R87" s="17">
        <v>1.6989566284779</v>
      </c>
      <c r="S87" s="17">
        <v>0.328920766342543</v>
      </c>
    </row>
    <row r="88">
      <c r="A88" s="16">
        <v>86.0</v>
      </c>
      <c r="B88" s="17" t="s">
        <v>839</v>
      </c>
      <c r="C88" s="17" t="s">
        <v>759</v>
      </c>
      <c r="D88" s="17">
        <v>0.00104931794333683</v>
      </c>
      <c r="E88" s="17">
        <v>0.00209863588667366</v>
      </c>
      <c r="F88" s="17">
        <v>6.33970570405906E-4</v>
      </c>
      <c r="G88" s="17">
        <v>0.5</v>
      </c>
      <c r="H88" s="17">
        <v>1.6551524507912</v>
      </c>
      <c r="I88" s="17">
        <v>0.00104798746994668</v>
      </c>
      <c r="J88" s="17">
        <v>1.99873205885918</v>
      </c>
      <c r="K88" s="17">
        <v>0.499366029429594</v>
      </c>
      <c r="L88" s="17">
        <v>0.00105213935001169</v>
      </c>
      <c r="M88" s="17">
        <v>0.00210427870002338</v>
      </c>
      <c r="N88" s="17">
        <v>0.301847089081131</v>
      </c>
      <c r="O88" s="17">
        <v>0.5</v>
      </c>
      <c r="P88" s="17">
        <v>1.65646785437645</v>
      </c>
      <c r="Q88" s="17">
        <v>4.16968949794205E-4</v>
      </c>
      <c r="R88" s="17">
        <v>1.39630582183773</v>
      </c>
      <c r="S88" s="17">
        <v>0.198152910918868</v>
      </c>
    </row>
    <row r="89">
      <c r="A89" s="16">
        <v>87.0</v>
      </c>
      <c r="B89" s="17" t="s">
        <v>840</v>
      </c>
      <c r="C89" s="17" t="s">
        <v>759</v>
      </c>
      <c r="D89" s="17">
        <v>0.0024484085344526</v>
      </c>
      <c r="E89" s="17">
        <v>0.0043138626559403</v>
      </c>
      <c r="F89" s="17">
        <v>0.00130316172805658</v>
      </c>
      <c r="G89" s="17">
        <v>0.567567567567567</v>
      </c>
      <c r="H89" s="17">
        <v>1.87882170089811</v>
      </c>
      <c r="I89" s="17">
        <v>0.00244278687373929</v>
      </c>
      <c r="J89" s="17">
        <v>2.30948643850386</v>
      </c>
      <c r="K89" s="17">
        <v>0.566264405839511</v>
      </c>
      <c r="L89" s="17">
        <v>0.00245786516853932</v>
      </c>
      <c r="M89" s="17">
        <v>0.00433052434456928</v>
      </c>
      <c r="N89" s="17">
        <v>0.301849250936329</v>
      </c>
      <c r="O89" s="17">
        <v>0.567567567567567</v>
      </c>
      <c r="P89" s="17">
        <v>1.88030139484191</v>
      </c>
      <c r="Q89" s="17">
        <v>0.00115069963896954</v>
      </c>
      <c r="R89" s="17">
        <v>1.61447360720973</v>
      </c>
      <c r="S89" s="17">
        <v>0.265718316631237</v>
      </c>
    </row>
    <row r="90">
      <c r="A90" s="16">
        <v>88.0</v>
      </c>
      <c r="B90" s="17" t="s">
        <v>841</v>
      </c>
      <c r="C90" s="17" t="s">
        <v>771</v>
      </c>
      <c r="D90" s="17">
        <v>0.00139909059111577</v>
      </c>
      <c r="E90" s="17">
        <v>0.00279818118223154</v>
      </c>
      <c r="F90" s="17">
        <v>5.6113695154929E-4</v>
      </c>
      <c r="G90" s="17">
        <v>0.5</v>
      </c>
      <c r="H90" s="17">
        <v>2.49331395348837</v>
      </c>
      <c r="I90" s="17">
        <v>0.00139752042825729</v>
      </c>
      <c r="J90" s="17">
        <v>1.9988777260969</v>
      </c>
      <c r="K90" s="17">
        <v>0.49943886304845</v>
      </c>
      <c r="L90" s="17">
        <v>0.00140285246668225</v>
      </c>
      <c r="M90" s="17">
        <v>0.0028057049333645</v>
      </c>
      <c r="N90" s="17">
        <v>0.200490998363338</v>
      </c>
      <c r="O90" s="17">
        <v>0.5</v>
      </c>
      <c r="P90" s="17">
        <v>2.4938775510204</v>
      </c>
      <c r="Q90" s="17">
        <v>8.40333883479058E-4</v>
      </c>
      <c r="R90" s="17">
        <v>1.59901800327332</v>
      </c>
      <c r="S90" s="17">
        <v>0.299509001636661</v>
      </c>
    </row>
    <row r="91">
      <c r="A91" s="16">
        <v>89.0</v>
      </c>
      <c r="B91" s="17" t="s">
        <v>842</v>
      </c>
      <c r="C91" s="17" t="s">
        <v>771</v>
      </c>
      <c r="D91" s="17">
        <v>0.00104931794333683</v>
      </c>
      <c r="E91" s="17">
        <v>0.00163227235630173</v>
      </c>
      <c r="F91" s="17">
        <v>3.27329888403752E-4</v>
      </c>
      <c r="G91" s="17">
        <v>0.642857142857142</v>
      </c>
      <c r="H91" s="17">
        <v>3.20568936877076</v>
      </c>
      <c r="I91" s="17">
        <v>0.00104878365180859</v>
      </c>
      <c r="J91" s="17">
        <v>2.79908347631247</v>
      </c>
      <c r="K91" s="17">
        <v>0.642529812968739</v>
      </c>
      <c r="L91" s="17">
        <v>0.00105213935001169</v>
      </c>
      <c r="M91" s="17">
        <v>0.00163666121112929</v>
      </c>
      <c r="N91" s="17">
        <v>0.200490998363338</v>
      </c>
      <c r="O91" s="17">
        <v>0.642857142857142</v>
      </c>
      <c r="P91" s="17">
        <v>3.20641399416909</v>
      </c>
      <c r="Q91" s="17">
        <v>7.24003509809826E-4</v>
      </c>
      <c r="R91" s="17">
        <v>2.23862520458265</v>
      </c>
      <c r="S91" s="17">
        <v>0.442366144493804</v>
      </c>
    </row>
    <row r="92">
      <c r="A92" s="16">
        <v>90.0</v>
      </c>
      <c r="B92" s="17" t="s">
        <v>843</v>
      </c>
      <c r="C92" s="17" t="s">
        <v>759</v>
      </c>
      <c r="D92" s="17">
        <v>0.00104931794333683</v>
      </c>
      <c r="E92" s="17">
        <v>0.00151568147370875</v>
      </c>
      <c r="F92" s="17">
        <v>4.57867634182043E-4</v>
      </c>
      <c r="G92" s="17">
        <v>0.692307692307692</v>
      </c>
      <c r="H92" s="17">
        <v>2.29174954724935</v>
      </c>
      <c r="I92" s="17">
        <v>0.00104862396184629</v>
      </c>
      <c r="J92" s="17">
        <v>3.2485119301889</v>
      </c>
      <c r="K92" s="17">
        <v>0.69184982467351</v>
      </c>
      <c r="L92" s="17">
        <v>0.00105213935001169</v>
      </c>
      <c r="M92" s="17">
        <v>0.00151975683890577</v>
      </c>
      <c r="N92" s="17">
        <v>0.301847089081131</v>
      </c>
      <c r="O92" s="17">
        <v>0.692307692307692</v>
      </c>
      <c r="P92" s="17">
        <v>2.29357087529047</v>
      </c>
      <c r="Q92" s="17">
        <v>5.9340517207684E-4</v>
      </c>
      <c r="R92" s="17">
        <v>2.26899696048632</v>
      </c>
      <c r="S92" s="17">
        <v>0.39046060322656</v>
      </c>
    </row>
    <row r="93">
      <c r="A93" s="16">
        <v>91.0</v>
      </c>
      <c r="B93" s="17" t="s">
        <v>844</v>
      </c>
      <c r="C93" s="17" t="s">
        <v>757</v>
      </c>
      <c r="D93" s="17">
        <v>0.00116590882592981</v>
      </c>
      <c r="E93" s="17">
        <v>0.00128249970852279</v>
      </c>
      <c r="F93" s="17">
        <v>2.5165524186124E-4</v>
      </c>
      <c r="G93" s="17">
        <v>0.909090909090909</v>
      </c>
      <c r="H93" s="17">
        <v>4.63296062226543</v>
      </c>
      <c r="I93" s="17">
        <v>0.00116558607815547</v>
      </c>
      <c r="J93" s="17">
        <v>10.9972317923395</v>
      </c>
      <c r="K93" s="17">
        <v>0.908839253849048</v>
      </c>
      <c r="L93" s="17">
        <v>0.00141402714932126</v>
      </c>
      <c r="M93" s="17">
        <v>0.00155542986425339</v>
      </c>
      <c r="N93" s="17">
        <v>0.187075791855203</v>
      </c>
      <c r="O93" s="17">
        <v>0.909090909090909</v>
      </c>
      <c r="P93" s="17">
        <v>4.85947914519343</v>
      </c>
      <c r="Q93" s="17">
        <v>0.00112304387579083</v>
      </c>
      <c r="R93" s="17">
        <v>8.94216628959275</v>
      </c>
      <c r="S93" s="17">
        <v>0.722015117235705</v>
      </c>
    </row>
    <row r="94">
      <c r="A94" s="16">
        <v>92.0</v>
      </c>
      <c r="B94" s="17" t="s">
        <v>845</v>
      </c>
      <c r="C94" s="17" t="s">
        <v>757</v>
      </c>
      <c r="D94" s="17">
        <v>0.00116590882592981</v>
      </c>
      <c r="E94" s="17">
        <v>0.00139909059111577</v>
      </c>
      <c r="F94" s="17">
        <v>2.74532991121353E-4</v>
      </c>
      <c r="G94" s="17">
        <v>0.833333333333333</v>
      </c>
      <c r="H94" s="17">
        <v>4.24688057040998</v>
      </c>
      <c r="I94" s="17">
        <v>0.00116552472940498</v>
      </c>
      <c r="J94" s="17">
        <v>5.99835280205327</v>
      </c>
      <c r="K94" s="17">
        <v>0.833058800342212</v>
      </c>
      <c r="L94" s="17">
        <v>0.00141402714932126</v>
      </c>
      <c r="M94" s="17">
        <v>0.00169683257918552</v>
      </c>
      <c r="N94" s="17">
        <v>0.187075791855203</v>
      </c>
      <c r="O94" s="17">
        <v>0.833333333333333</v>
      </c>
      <c r="P94" s="17">
        <v>4.45452254976064</v>
      </c>
      <c r="Q94" s="17">
        <v>0.00109659085092442</v>
      </c>
      <c r="R94" s="17">
        <v>4.87754524886877</v>
      </c>
      <c r="S94" s="17">
        <v>0.646257541478129</v>
      </c>
    </row>
    <row r="95">
      <c r="A95" s="16">
        <v>93.0</v>
      </c>
      <c r="B95" s="17" t="s">
        <v>846</v>
      </c>
      <c r="C95" s="17" t="s">
        <v>759</v>
      </c>
      <c r="D95" s="17">
        <v>0.00104931794333683</v>
      </c>
      <c r="E95" s="17">
        <v>0.00186545412148769</v>
      </c>
      <c r="F95" s="17">
        <v>5.63529395916361E-4</v>
      </c>
      <c r="G95" s="17">
        <v>0.5625</v>
      </c>
      <c r="H95" s="17">
        <v>1.8620465071401</v>
      </c>
      <c r="I95" s="17">
        <v>0.00104826670510263</v>
      </c>
      <c r="J95" s="17">
        <v>2.28442621852362</v>
      </c>
      <c r="K95" s="17">
        <v>0.561936470604083</v>
      </c>
      <c r="L95" s="17">
        <v>0.00105337078651685</v>
      </c>
      <c r="M95" s="17">
        <v>0.00187265917602996</v>
      </c>
      <c r="N95" s="17">
        <v>0.301849250936329</v>
      </c>
      <c r="O95" s="17">
        <v>0.5625</v>
      </c>
      <c r="P95" s="17">
        <v>1.86351298953082</v>
      </c>
      <c r="Q95" s="17">
        <v>4.88110016973165E-4</v>
      </c>
      <c r="R95" s="17">
        <v>1.59577314071696</v>
      </c>
      <c r="S95" s="17">
        <v>0.26065074906367</v>
      </c>
    </row>
    <row r="96">
      <c r="A96" s="16">
        <v>94.0</v>
      </c>
      <c r="B96" s="17" t="s">
        <v>847</v>
      </c>
      <c r="C96" s="17" t="s">
        <v>759</v>
      </c>
      <c r="D96" s="17">
        <v>0.00128249970852279</v>
      </c>
      <c r="E96" s="17">
        <v>0.00209863588667366</v>
      </c>
      <c r="F96" s="17">
        <v>6.33970570405906E-4</v>
      </c>
      <c r="G96" s="17">
        <v>0.611111111111111</v>
      </c>
      <c r="H96" s="17">
        <v>2.02296410652257</v>
      </c>
      <c r="I96" s="17">
        <v>0.00128116923513264</v>
      </c>
      <c r="J96" s="17">
        <v>2.56979836139038</v>
      </c>
      <c r="K96" s="17">
        <v>0.610477140540705</v>
      </c>
      <c r="L96" s="17">
        <v>0.00128459651991124</v>
      </c>
      <c r="M96" s="17">
        <v>0.00210206703258203</v>
      </c>
      <c r="N96" s="17">
        <v>0.302113745182763</v>
      </c>
      <c r="O96" s="17">
        <v>0.611111111111111</v>
      </c>
      <c r="P96" s="17">
        <v>2.0227848644934</v>
      </c>
      <c r="Q96" s="17">
        <v>6.49533176072669E-4</v>
      </c>
      <c r="R96" s="17">
        <v>1.79456465524432</v>
      </c>
      <c r="S96" s="17">
        <v>0.308997365928348</v>
      </c>
    </row>
    <row r="97">
      <c r="A97" s="16">
        <v>95.0</v>
      </c>
      <c r="B97" s="17" t="s">
        <v>848</v>
      </c>
      <c r="C97" s="17" t="s">
        <v>771</v>
      </c>
      <c r="D97" s="17">
        <v>0.00151568147370875</v>
      </c>
      <c r="E97" s="17">
        <v>0.00256499941704558</v>
      </c>
      <c r="F97" s="17">
        <v>5.14375538920183E-4</v>
      </c>
      <c r="G97" s="17">
        <v>0.59090909090909</v>
      </c>
      <c r="H97" s="17">
        <v>2.94664376321353</v>
      </c>
      <c r="I97" s="17">
        <v>0.00151436210075128</v>
      </c>
      <c r="J97" s="17">
        <v>2.44318708201597</v>
      </c>
      <c r="K97" s="17">
        <v>0.59039471537017</v>
      </c>
      <c r="L97" s="17">
        <v>0.00152510558423275</v>
      </c>
      <c r="M97" s="17">
        <v>0.0025809479117785</v>
      </c>
      <c r="N97" s="17">
        <v>0.200492726419521</v>
      </c>
      <c r="O97" s="17">
        <v>0.59090909090909</v>
      </c>
      <c r="P97" s="17">
        <v>2.94728443002287</v>
      </c>
      <c r="Q97" s="17">
        <v>0.00100764430065351</v>
      </c>
      <c r="R97" s="17">
        <v>1.95435111319672</v>
      </c>
      <c r="S97" s="17">
        <v>0.390416364489569</v>
      </c>
    </row>
    <row r="98">
      <c r="A98" s="16">
        <v>96.0</v>
      </c>
      <c r="B98" s="17" t="s">
        <v>849</v>
      </c>
      <c r="C98" s="17" t="s">
        <v>759</v>
      </c>
      <c r="D98" s="17">
        <v>0.00151568147370875</v>
      </c>
      <c r="E98" s="17">
        <v>0.00291477206482453</v>
      </c>
      <c r="F98" s="17">
        <v>8.80514681119314E-4</v>
      </c>
      <c r="G98" s="17">
        <v>0.52</v>
      </c>
      <c r="H98" s="17">
        <v>1.72135854882284</v>
      </c>
      <c r="I98" s="17">
        <v>0.00151311497411356</v>
      </c>
      <c r="J98" s="17">
        <v>2.08149892774766</v>
      </c>
      <c r="K98" s="17">
        <v>0.51911948531888</v>
      </c>
      <c r="L98" s="17">
        <v>0.00152510558423275</v>
      </c>
      <c r="M98" s="17">
        <v>0.00293289535429375</v>
      </c>
      <c r="N98" s="17">
        <v>0.302205537306428</v>
      </c>
      <c r="O98" s="17">
        <v>0.52</v>
      </c>
      <c r="P98" s="17">
        <v>1.72068322981366</v>
      </c>
      <c r="Q98" s="17">
        <v>6.3876836782488E-4</v>
      </c>
      <c r="R98" s="17">
        <v>1.45373846394493</v>
      </c>
      <c r="S98" s="17">
        <v>0.217794462693571</v>
      </c>
    </row>
    <row r="99">
      <c r="A99" s="16">
        <v>97.0</v>
      </c>
      <c r="B99" s="17" t="s">
        <v>850</v>
      </c>
      <c r="C99" s="17" t="s">
        <v>759</v>
      </c>
      <c r="D99" s="17">
        <v>0.00128249970852279</v>
      </c>
      <c r="E99" s="17">
        <v>0.00198204500408068</v>
      </c>
      <c r="F99" s="17">
        <v>5.98749983161133E-4</v>
      </c>
      <c r="G99" s="17">
        <v>0.647058823529411</v>
      </c>
      <c r="H99" s="17">
        <v>2.14196199514155</v>
      </c>
      <c r="I99" s="17">
        <v>0.00128131295910997</v>
      </c>
      <c r="J99" s="17">
        <v>2.8316368750477</v>
      </c>
      <c r="K99" s="17">
        <v>0.64646007354625</v>
      </c>
      <c r="L99" s="17">
        <v>0.00128429655575014</v>
      </c>
      <c r="M99" s="17">
        <v>0.00198482194979568</v>
      </c>
      <c r="N99" s="17">
        <v>0.301809690601284</v>
      </c>
      <c r="O99" s="17">
        <v>0.647058823529411</v>
      </c>
      <c r="P99" s="17">
        <v>2.14392991239048</v>
      </c>
      <c r="Q99" s="17">
        <v>6.85258057183673E-4</v>
      </c>
      <c r="R99" s="17">
        <v>1.97820587662969</v>
      </c>
      <c r="S99" s="17">
        <v>0.345249132928127</v>
      </c>
    </row>
    <row r="100">
      <c r="A100" s="16">
        <v>98.0</v>
      </c>
      <c r="B100" s="17" t="s">
        <v>851</v>
      </c>
      <c r="C100" s="17" t="s">
        <v>764</v>
      </c>
      <c r="D100" s="17">
        <v>0.00186545412148769</v>
      </c>
      <c r="E100" s="17">
        <v>0.00349772647778943</v>
      </c>
      <c r="F100" s="17">
        <v>8.87379365240738E-4</v>
      </c>
      <c r="G100" s="17">
        <v>0.533333333333333</v>
      </c>
      <c r="H100" s="17">
        <v>2.10220588235294</v>
      </c>
      <c r="I100" s="17">
        <v>0.00186235031118605</v>
      </c>
      <c r="J100" s="17">
        <v>2.14095561564591</v>
      </c>
      <c r="K100" s="17">
        <v>0.532445953968092</v>
      </c>
      <c r="L100" s="17">
        <v>0.0019047619047619</v>
      </c>
      <c r="M100" s="17">
        <v>0.00357142857142857</v>
      </c>
      <c r="N100" s="17">
        <v>0.253095238095238</v>
      </c>
      <c r="O100" s="17">
        <v>0.533333333333333</v>
      </c>
      <c r="P100" s="17">
        <v>2.10724365004703</v>
      </c>
      <c r="Q100" s="17">
        <v>0.00100085034013605</v>
      </c>
      <c r="R100" s="17">
        <v>1.60051020408163</v>
      </c>
      <c r="S100" s="17">
        <v>0.280238095238095</v>
      </c>
    </row>
    <row r="101">
      <c r="A101" s="16">
        <v>99.0</v>
      </c>
      <c r="B101" s="17" t="s">
        <v>852</v>
      </c>
      <c r="C101" s="17" t="s">
        <v>757</v>
      </c>
      <c r="D101" s="17">
        <v>0.00186545412148769</v>
      </c>
      <c r="E101" s="17">
        <v>0.00338113559519645</v>
      </c>
      <c r="F101" s="17">
        <v>6.6345472854327E-4</v>
      </c>
      <c r="G101" s="17">
        <v>0.551724137931034</v>
      </c>
      <c r="H101" s="17">
        <v>2.8117278259266</v>
      </c>
      <c r="I101" s="17">
        <v>0.00186321089108922</v>
      </c>
      <c r="J101" s="17">
        <v>2.22928921637478</v>
      </c>
      <c r="K101" s="17">
        <v>0.551060683202491</v>
      </c>
      <c r="L101" s="17">
        <v>0.0019047619047619</v>
      </c>
      <c r="M101" s="17">
        <v>0.00345238095238095</v>
      </c>
      <c r="N101" s="17">
        <v>0.194880952380952</v>
      </c>
      <c r="O101" s="17">
        <v>0.551724137931034</v>
      </c>
      <c r="P101" s="17">
        <v>2.83108293135045</v>
      </c>
      <c r="Q101" s="17">
        <v>0.00123195861678004</v>
      </c>
      <c r="R101" s="17">
        <v>1.79603479853479</v>
      </c>
      <c r="S101" s="17">
        <v>0.356843185550082</v>
      </c>
    </row>
    <row r="102">
      <c r="A102" s="16">
        <v>100.0</v>
      </c>
      <c r="B102" s="17" t="s">
        <v>853</v>
      </c>
      <c r="C102" s="17" t="s">
        <v>759</v>
      </c>
      <c r="D102" s="17">
        <v>0.00186545412148769</v>
      </c>
      <c r="E102" s="17">
        <v>0.00279818118223154</v>
      </c>
      <c r="F102" s="17">
        <v>8.45294093874541E-4</v>
      </c>
      <c r="G102" s="17">
        <v>0.666666666666666</v>
      </c>
      <c r="H102" s="17">
        <v>2.20686993438826</v>
      </c>
      <c r="I102" s="17">
        <v>0.00186308883546076</v>
      </c>
      <c r="J102" s="17">
        <v>2.99746411771837</v>
      </c>
      <c r="K102" s="17">
        <v>0.665821372572792</v>
      </c>
      <c r="L102" s="17">
        <v>0.0019047619047619</v>
      </c>
      <c r="M102" s="17">
        <v>0.00285714285714285</v>
      </c>
      <c r="N102" s="17">
        <v>0.301428571428571</v>
      </c>
      <c r="O102" s="17">
        <v>0.666666666666666</v>
      </c>
      <c r="P102" s="17">
        <v>2.21169036334913</v>
      </c>
      <c r="Q102" s="17">
        <v>0.00104353741496598</v>
      </c>
      <c r="R102" s="17">
        <v>2.09571428571428</v>
      </c>
      <c r="S102" s="17">
        <v>0.365238095238095</v>
      </c>
    </row>
    <row r="103">
      <c r="A103" s="16">
        <v>101.0</v>
      </c>
      <c r="B103" s="17" t="s">
        <v>854</v>
      </c>
      <c r="C103" s="17" t="s">
        <v>757</v>
      </c>
      <c r="D103" s="17">
        <v>0.00128249970852279</v>
      </c>
      <c r="E103" s="17">
        <v>0.00198204500408068</v>
      </c>
      <c r="F103" s="17">
        <v>3.88921737421917E-4</v>
      </c>
      <c r="G103" s="17">
        <v>0.647058823529411</v>
      </c>
      <c r="H103" s="17">
        <v>3.29757785467128</v>
      </c>
      <c r="I103" s="17">
        <v>0.00128172884813615</v>
      </c>
      <c r="J103" s="17">
        <v>2.83223138841063</v>
      </c>
      <c r="K103" s="17">
        <v>0.646669901791989</v>
      </c>
      <c r="L103" s="17">
        <v>0.00129824147291396</v>
      </c>
      <c r="M103" s="17">
        <v>0.00200637318541248</v>
      </c>
      <c r="N103" s="17">
        <v>0.196978638026672</v>
      </c>
      <c r="O103" s="17">
        <v>0.647058823529411</v>
      </c>
      <c r="P103" s="17">
        <v>3.28491876079371</v>
      </c>
      <c r="Q103" s="17">
        <v>9.03028815478173E-4</v>
      </c>
      <c r="R103" s="17">
        <v>2.27522719225776</v>
      </c>
      <c r="S103" s="17">
        <v>0.450080185502738</v>
      </c>
    </row>
    <row r="104">
      <c r="A104" s="16">
        <v>102.0</v>
      </c>
      <c r="B104" s="17" t="s">
        <v>855</v>
      </c>
      <c r="C104" s="17" t="s">
        <v>757</v>
      </c>
      <c r="D104" s="17">
        <v>0.00408068089075434</v>
      </c>
      <c r="E104" s="17">
        <v>0.00524658971668415</v>
      </c>
      <c r="F104" s="17">
        <v>0.00102949871670507</v>
      </c>
      <c r="G104" s="17">
        <v>0.777777777777777</v>
      </c>
      <c r="H104" s="17">
        <v>3.96375519904931</v>
      </c>
      <c r="I104" s="17">
        <v>0.00407527953337393</v>
      </c>
      <c r="J104" s="17">
        <v>4.49536725577483</v>
      </c>
      <c r="K104" s="17">
        <v>0.776748279061072</v>
      </c>
      <c r="L104" s="17">
        <v>0.00413076832290806</v>
      </c>
      <c r="M104" s="17">
        <v>0.00531098784373893</v>
      </c>
      <c r="N104" s="17">
        <v>0.196978638026672</v>
      </c>
      <c r="O104" s="17">
        <v>0.777777777777777</v>
      </c>
      <c r="P104" s="17">
        <v>3.94853871246921</v>
      </c>
      <c r="Q104" s="17">
        <v>0.00308461717087214</v>
      </c>
      <c r="R104" s="17">
        <v>3.61359612887997</v>
      </c>
      <c r="S104" s="17">
        <v>0.580799139751104</v>
      </c>
    </row>
    <row r="105">
      <c r="A105" s="16">
        <v>103.0</v>
      </c>
      <c r="B105" s="17" t="s">
        <v>856</v>
      </c>
      <c r="C105" s="17" t="s">
        <v>759</v>
      </c>
      <c r="D105" s="17">
        <v>0.00489681706890521</v>
      </c>
      <c r="E105" s="17">
        <v>0.00664568030779993</v>
      </c>
      <c r="F105" s="17">
        <v>0.00200757347295203</v>
      </c>
      <c r="G105" s="17">
        <v>0.736842105263158</v>
      </c>
      <c r="H105" s="17">
        <v>2.43917203274492</v>
      </c>
      <c r="I105" s="17">
        <v>0.00488347537740955</v>
      </c>
      <c r="J105" s="17">
        <v>3.79237122080278</v>
      </c>
      <c r="K105" s="17">
        <v>0.734834531790206</v>
      </c>
      <c r="L105" s="17">
        <v>0.00491573033707865</v>
      </c>
      <c r="M105" s="17">
        <v>0.00667134831460674</v>
      </c>
      <c r="N105" s="17">
        <v>0.301849250936329</v>
      </c>
      <c r="O105" s="17">
        <v>0.736842105263157</v>
      </c>
      <c r="P105" s="17">
        <v>2.44109303891757</v>
      </c>
      <c r="Q105" s="17">
        <v>0.00290198884557926</v>
      </c>
      <c r="R105" s="17">
        <v>2.65297284644194</v>
      </c>
      <c r="S105" s="17">
        <v>0.434992854326828</v>
      </c>
    </row>
    <row r="106">
      <c r="A106" s="16">
        <v>104.0</v>
      </c>
      <c r="B106" s="17" t="s">
        <v>857</v>
      </c>
      <c r="C106" s="17" t="s">
        <v>759</v>
      </c>
      <c r="D106" s="17">
        <v>0.00116590882592981</v>
      </c>
      <c r="E106" s="17">
        <v>0.00186545412148769</v>
      </c>
      <c r="F106" s="17">
        <v>5.63529395916361E-4</v>
      </c>
      <c r="G106" s="17">
        <v>0.625</v>
      </c>
      <c r="H106" s="17">
        <v>2.068940563489</v>
      </c>
      <c r="I106" s="17">
        <v>0.00116485758769562</v>
      </c>
      <c r="J106" s="17">
        <v>2.66516392161089</v>
      </c>
      <c r="K106" s="17">
        <v>0.624436470604083</v>
      </c>
      <c r="L106" s="17">
        <v>0.00197667523225933</v>
      </c>
      <c r="M106" s="17">
        <v>0.00316268037161494</v>
      </c>
      <c r="N106" s="17">
        <v>0.268630164064044</v>
      </c>
      <c r="O106" s="17">
        <v>625.0</v>
      </c>
      <c r="P106" s="17">
        <v>2.32661883738042</v>
      </c>
      <c r="Q106" s="17">
        <v>0.00112708388515028</v>
      </c>
      <c r="R106" s="17">
        <v>1.95031956249588</v>
      </c>
      <c r="S106" s="17">
        <v>0.356369835935955</v>
      </c>
    </row>
    <row r="107">
      <c r="A107" s="16">
        <v>105.0</v>
      </c>
      <c r="B107" s="17" t="s">
        <v>858</v>
      </c>
      <c r="C107" s="17" t="s">
        <v>759</v>
      </c>
      <c r="D107" s="17">
        <v>0.00139909059111577</v>
      </c>
      <c r="E107" s="17">
        <v>0.00209863588667366</v>
      </c>
      <c r="F107" s="17">
        <v>6.33970570405906E-4</v>
      </c>
      <c r="G107" s="17">
        <v>0.666666666666666</v>
      </c>
      <c r="H107" s="17">
        <v>2.20686993438826</v>
      </c>
      <c r="I107" s="17">
        <v>0.00139776011772562</v>
      </c>
      <c r="J107" s="17">
        <v>2.99809808828878</v>
      </c>
      <c r="K107" s="17">
        <v>0.66603269609626</v>
      </c>
      <c r="L107" s="17">
        <v>0.00140449438202247</v>
      </c>
      <c r="M107" s="17">
        <v>0.0021067415730337</v>
      </c>
      <c r="N107" s="17">
        <v>0.301849250936329</v>
      </c>
      <c r="O107" s="17">
        <v>0.666666666666666</v>
      </c>
      <c r="P107" s="17">
        <v>2.20860798759209</v>
      </c>
      <c r="Q107" s="17">
        <v>7.68576016285822E-4</v>
      </c>
      <c r="R107" s="17">
        <v>2.09445224719101</v>
      </c>
      <c r="S107" s="17">
        <v>0.364817415730337</v>
      </c>
    </row>
    <row r="108">
      <c r="A108" s="16">
        <v>106.0</v>
      </c>
      <c r="B108" s="17" t="s">
        <v>854</v>
      </c>
      <c r="C108" s="17" t="s">
        <v>759</v>
      </c>
      <c r="D108" s="17">
        <v>0.00104931794333683</v>
      </c>
      <c r="E108" s="17">
        <v>0.00198204500408068</v>
      </c>
      <c r="F108" s="17">
        <v>5.98749983161133E-4</v>
      </c>
      <c r="G108" s="17">
        <v>0.529411764705882</v>
      </c>
      <c r="H108" s="17">
        <v>1.75251435966127</v>
      </c>
      <c r="I108" s="17">
        <v>0.00104813119392401</v>
      </c>
      <c r="J108" s="17">
        <v>2.12372765628578</v>
      </c>
      <c r="K108" s="17">
        <v>0.528813014722721</v>
      </c>
      <c r="L108" s="17">
        <v>0.00106219756874778</v>
      </c>
      <c r="M108" s="17">
        <v>0.00200637318541248</v>
      </c>
      <c r="N108" s="17">
        <v>0.301782131476454</v>
      </c>
      <c r="O108" s="17">
        <v>0.529411764705882</v>
      </c>
      <c r="P108" s="17">
        <v>1.75428466263314</v>
      </c>
      <c r="Q108" s="17">
        <v>4.56709992316803E-4</v>
      </c>
      <c r="R108" s="17">
        <v>1.48371297061253</v>
      </c>
      <c r="S108" s="17">
        <v>0.227629633229427</v>
      </c>
    </row>
    <row r="109">
      <c r="A109" s="16">
        <v>107.0</v>
      </c>
      <c r="B109" s="17" t="s">
        <v>859</v>
      </c>
      <c r="C109" s="17" t="s">
        <v>759</v>
      </c>
      <c r="D109" s="17">
        <v>0.00139909059111577</v>
      </c>
      <c r="E109" s="17">
        <v>0.00221522676926664</v>
      </c>
      <c r="F109" s="17">
        <v>6.69191157650678E-4</v>
      </c>
      <c r="G109" s="17">
        <v>0.631578947368421</v>
      </c>
      <c r="H109" s="17">
        <v>2.09071888520993</v>
      </c>
      <c r="I109" s="17">
        <v>0.00139760818094959</v>
      </c>
      <c r="J109" s="17">
        <v>2.71246933828637</v>
      </c>
      <c r="K109" s="17">
        <v>0.63090975621077</v>
      </c>
      <c r="L109" s="17">
        <v>0.0023720102787112</v>
      </c>
      <c r="M109" s="17">
        <v>0.00375568294129274</v>
      </c>
      <c r="N109" s="17">
        <v>0.268630164064044</v>
      </c>
      <c r="O109" s="17">
        <v>0.631578947368421</v>
      </c>
      <c r="P109" s="17">
        <v>2.35110956198443</v>
      </c>
      <c r="Q109" s="17">
        <v>0.0013631205540192</v>
      </c>
      <c r="R109" s="17">
        <v>1.98514669754045</v>
      </c>
      <c r="S109" s="17">
        <v>0.362948783304376</v>
      </c>
    </row>
    <row r="110">
      <c r="A110" s="16">
        <v>108.0</v>
      </c>
      <c r="B110" s="17" t="s">
        <v>860</v>
      </c>
      <c r="C110" s="17" t="s">
        <v>759</v>
      </c>
      <c r="D110" s="17">
        <v>0.00128249970852279</v>
      </c>
      <c r="E110" s="17">
        <v>0.00151568147370875</v>
      </c>
      <c r="F110" s="17">
        <v>4.57867634182043E-4</v>
      </c>
      <c r="G110" s="17">
        <v>0.846153846153846</v>
      </c>
      <c r="H110" s="17">
        <v>2.80102722441587</v>
      </c>
      <c r="I110" s="17">
        <v>0.00128180572703225</v>
      </c>
      <c r="J110" s="17">
        <v>6.49702386037781</v>
      </c>
      <c r="K110" s="17">
        <v>0.845695978519664</v>
      </c>
      <c r="L110" s="17">
        <v>0.00128549725371041</v>
      </c>
      <c r="M110" s="17">
        <v>0.0015192240271123</v>
      </c>
      <c r="N110" s="17">
        <v>0.301974991235246</v>
      </c>
      <c r="O110" s="17">
        <v>0.846153846153846</v>
      </c>
      <c r="P110" s="17">
        <v>2.80206596808763</v>
      </c>
      <c r="Q110" s="17">
        <v>8.26729591438798E-4</v>
      </c>
      <c r="R110" s="17">
        <v>4.5371625569709</v>
      </c>
      <c r="S110" s="17">
        <v>0.5441788549186</v>
      </c>
    </row>
    <row r="111">
      <c r="A111" s="16">
        <v>109.0</v>
      </c>
      <c r="B111" s="17" t="s">
        <v>861</v>
      </c>
      <c r="C111" s="17" t="s">
        <v>759</v>
      </c>
      <c r="D111" s="17">
        <v>0.00128249970852279</v>
      </c>
      <c r="E111" s="17">
        <v>0.00174886323889471</v>
      </c>
      <c r="F111" s="17">
        <v>5.28308808671588E-4</v>
      </c>
      <c r="G111" s="17">
        <v>0.733333333333333</v>
      </c>
      <c r="H111" s="17">
        <v>2.42755692782709</v>
      </c>
      <c r="I111" s="17">
        <v>0.00128157576866852</v>
      </c>
      <c r="J111" s="17">
        <v>3.74801884196748</v>
      </c>
      <c r="K111" s="17">
        <v>0.732805024524661</v>
      </c>
      <c r="L111" s="17">
        <v>0.00128549725371041</v>
      </c>
      <c r="M111" s="17">
        <v>0.00175295080051419</v>
      </c>
      <c r="N111" s="17">
        <v>0.301974991235246</v>
      </c>
      <c r="O111" s="17">
        <v>0.733333333333333</v>
      </c>
      <c r="P111" s="17">
        <v>2.42845717234262</v>
      </c>
      <c r="Q111" s="17">
        <v>7.56149951089319E-4</v>
      </c>
      <c r="R111" s="17">
        <v>2.61759378286782</v>
      </c>
      <c r="S111" s="17">
        <v>0.431358342098087</v>
      </c>
    </row>
    <row r="112">
      <c r="A112" s="16">
        <v>110.0</v>
      </c>
      <c r="B112" s="17" t="s">
        <v>862</v>
      </c>
      <c r="C112" s="17" t="s">
        <v>759</v>
      </c>
      <c r="D112" s="17">
        <v>0.00151568147370875</v>
      </c>
      <c r="E112" s="17">
        <v>0.00233181765185962</v>
      </c>
      <c r="F112" s="17">
        <v>7.04411744895451E-4</v>
      </c>
      <c r="G112" s="17">
        <v>0.649999999999999</v>
      </c>
      <c r="H112" s="17">
        <v>2.15169818602856</v>
      </c>
      <c r="I112" s="17">
        <v>0.00151403891396783</v>
      </c>
      <c r="J112" s="17">
        <v>2.85513025215744</v>
      </c>
      <c r="K112" s="17">
        <v>0.649295588255104</v>
      </c>
      <c r="L112" s="17">
        <v>0.00152153558052434</v>
      </c>
      <c r="M112" s="17">
        <v>0.00234082397003745</v>
      </c>
      <c r="N112" s="17">
        <v>0.301849250936329</v>
      </c>
      <c r="O112" s="17">
        <v>0.65</v>
      </c>
      <c r="P112" s="17">
        <v>2.15339278790228</v>
      </c>
      <c r="Q112" s="17">
        <v>8.14959618594734E-4</v>
      </c>
      <c r="R112" s="17">
        <v>1.9947164258962</v>
      </c>
      <c r="S112" s="17">
        <v>0.34815074906367</v>
      </c>
    </row>
    <row r="113">
      <c r="A113" s="16">
        <v>111.0</v>
      </c>
      <c r="B113" s="17" t="s">
        <v>863</v>
      </c>
      <c r="C113" s="17" t="s">
        <v>759</v>
      </c>
      <c r="D113" s="17">
        <v>0.00128249970852279</v>
      </c>
      <c r="E113" s="17">
        <v>0.00221522676926664</v>
      </c>
      <c r="F113" s="17">
        <v>6.69191157650678E-4</v>
      </c>
      <c r="G113" s="17">
        <v>0.578947368421052</v>
      </c>
      <c r="H113" s="17">
        <v>1.91649231144244</v>
      </c>
      <c r="I113" s="17">
        <v>0.0012810172983566</v>
      </c>
      <c r="J113" s="17">
        <v>2.37341067100058</v>
      </c>
      <c r="K113" s="17">
        <v>0.578278177263402</v>
      </c>
      <c r="L113" s="17">
        <v>0.00128459651991124</v>
      </c>
      <c r="M113" s="17">
        <v>0.00221884853439215</v>
      </c>
      <c r="N113" s="17">
        <v>0.302113745182763</v>
      </c>
      <c r="O113" s="17">
        <v>0.578947368421052</v>
      </c>
      <c r="P113" s="17">
        <v>1.91632250320428</v>
      </c>
      <c r="Q113" s="17">
        <v>6.14251879192748E-4</v>
      </c>
      <c r="R113" s="17">
        <v>1.65747985519093</v>
      </c>
      <c r="S113" s="17">
        <v>0.276833623238289</v>
      </c>
    </row>
    <row r="114">
      <c r="A114" s="16">
        <v>112.0</v>
      </c>
      <c r="B114" s="17" t="s">
        <v>864</v>
      </c>
      <c r="C114" s="17" t="s">
        <v>757</v>
      </c>
      <c r="D114" s="17">
        <v>0.00303136294741751</v>
      </c>
      <c r="E114" s="17">
        <v>0.00384749912556838</v>
      </c>
      <c r="F114" s="17">
        <v>7.54965725583722E-4</v>
      </c>
      <c r="G114" s="17">
        <v>0.787878787878787</v>
      </c>
      <c r="H114" s="17">
        <v>4.01523253929671</v>
      </c>
      <c r="I114" s="17">
        <v>0.00302845821744849</v>
      </c>
      <c r="J114" s="17">
        <v>4.71072659015081</v>
      </c>
      <c r="K114" s="17">
        <v>0.787123822153204</v>
      </c>
      <c r="L114" s="17">
        <v>0.00306857075416027</v>
      </c>
      <c r="M114" s="17">
        <v>0.00389472441874188</v>
      </c>
      <c r="N114" s="17">
        <v>0.196978638026672</v>
      </c>
      <c r="O114" s="17">
        <v>0.787878787878787</v>
      </c>
      <c r="P114" s="17">
        <v>3.99981843600777</v>
      </c>
      <c r="Q114" s="17">
        <v>0.00230139324266727</v>
      </c>
      <c r="R114" s="17">
        <v>3.78567213501711</v>
      </c>
      <c r="S114" s="17">
        <v>0.590900149852114</v>
      </c>
    </row>
    <row r="115">
      <c r="A115" s="16">
        <v>113.0</v>
      </c>
      <c r="B115" s="17" t="s">
        <v>865</v>
      </c>
      <c r="C115" s="17" t="s">
        <v>759</v>
      </c>
      <c r="D115" s="17">
        <v>0.00303136294741751</v>
      </c>
      <c r="E115" s="17">
        <v>0.00466363530371925</v>
      </c>
      <c r="F115" s="17">
        <v>0.0014088234897909</v>
      </c>
      <c r="G115" s="17">
        <v>0.649999999999999</v>
      </c>
      <c r="H115" s="17">
        <v>2.15169818602856</v>
      </c>
      <c r="I115" s="17">
        <v>0.00302479270845381</v>
      </c>
      <c r="J115" s="17">
        <v>2.85311764717202</v>
      </c>
      <c r="K115" s="17">
        <v>0.648591176510209</v>
      </c>
      <c r="L115" s="17">
        <v>0.00306857075416027</v>
      </c>
      <c r="M115" s="17">
        <v>0.00472087808332349</v>
      </c>
      <c r="N115" s="17">
        <v>0.301782131476454</v>
      </c>
      <c r="O115" s="17">
        <v>0.65</v>
      </c>
      <c r="P115" s="17">
        <v>2.15387172467735</v>
      </c>
      <c r="Q115" s="17">
        <v>0.00164389410373442</v>
      </c>
      <c r="R115" s="17">
        <v>1.99490819578155</v>
      </c>
      <c r="S115" s="17">
        <v>0.348217868523545</v>
      </c>
    </row>
    <row r="116">
      <c r="A116" s="16">
        <v>114.0</v>
      </c>
      <c r="B116" s="17" t="s">
        <v>866</v>
      </c>
      <c r="C116" s="17" t="s">
        <v>757</v>
      </c>
      <c r="D116" s="17">
        <v>0.00151568147370875</v>
      </c>
      <c r="E116" s="17">
        <v>0.00163227235630173</v>
      </c>
      <c r="F116" s="17">
        <v>3.20288489641579E-4</v>
      </c>
      <c r="G116" s="17">
        <v>0.928571428571428</v>
      </c>
      <c r="H116" s="17">
        <v>4.7322383498854</v>
      </c>
      <c r="I116" s="17">
        <v>0.00151515867566107</v>
      </c>
      <c r="J116" s="17">
        <v>13.995515961145</v>
      </c>
      <c r="K116" s="17">
        <v>0.928251140081786</v>
      </c>
      <c r="L116" s="17">
        <v>0.00153428537708013</v>
      </c>
      <c r="M116" s="17">
        <v>0.00165230732916322</v>
      </c>
      <c r="N116" s="17">
        <v>0.196978638026672</v>
      </c>
      <c r="O116" s="17">
        <v>0.928571428571428</v>
      </c>
      <c r="P116" s="17">
        <v>4.71407172815201</v>
      </c>
      <c r="Q116" s="17">
        <v>0.00120881612978007</v>
      </c>
      <c r="R116" s="17">
        <v>11.2422990676265</v>
      </c>
      <c r="S116" s="17">
        <v>0.731592790544755</v>
      </c>
    </row>
    <row r="117">
      <c r="A117" s="16">
        <v>115.0</v>
      </c>
      <c r="B117" s="17" t="s">
        <v>867</v>
      </c>
      <c r="C117" s="17" t="s">
        <v>759</v>
      </c>
      <c r="D117" s="17">
        <v>0.00151568147370875</v>
      </c>
      <c r="E117" s="17">
        <v>0.00198204500408068</v>
      </c>
      <c r="F117" s="17">
        <v>5.98749983161133E-4</v>
      </c>
      <c r="G117" s="17">
        <v>0.764705882352941</v>
      </c>
      <c r="H117" s="17">
        <v>2.53140963062183</v>
      </c>
      <c r="I117" s="17">
        <v>0.00151449472429593</v>
      </c>
      <c r="J117" s="17">
        <v>4.24745531257156</v>
      </c>
      <c r="K117" s="17">
        <v>0.764107132369779</v>
      </c>
      <c r="L117" s="17">
        <v>0.00153428537708013</v>
      </c>
      <c r="M117" s="17">
        <v>0.00200637318541248</v>
      </c>
      <c r="N117" s="17">
        <v>0.301782131476454</v>
      </c>
      <c r="O117" s="17">
        <v>0.764705882352941</v>
      </c>
      <c r="P117" s="17">
        <v>2.53396673491453</v>
      </c>
      <c r="Q117" s="17">
        <v>9.28797800649152E-4</v>
      </c>
      <c r="R117" s="17">
        <v>2.96742594122506</v>
      </c>
      <c r="S117" s="17">
        <v>0.462923750876486</v>
      </c>
    </row>
    <row r="118">
      <c r="A118" s="16">
        <v>116.0</v>
      </c>
      <c r="B118" s="17" t="s">
        <v>793</v>
      </c>
      <c r="C118" s="17" t="s">
        <v>833</v>
      </c>
      <c r="D118" s="17">
        <v>0.00151568147370875</v>
      </c>
      <c r="E118" s="17">
        <v>0.0024484085344526</v>
      </c>
      <c r="F118" s="17">
        <v>2.19805826224613E-4</v>
      </c>
      <c r="G118" s="17">
        <v>0.619047619047619</v>
      </c>
      <c r="H118" s="17">
        <v>6.89554730983302</v>
      </c>
      <c r="I118" s="17">
        <v>0.0015151432992479</v>
      </c>
      <c r="J118" s="17">
        <v>2.62442300970615</v>
      </c>
      <c r="K118" s="17">
        <v>0.618827813221394</v>
      </c>
      <c r="L118" s="17">
        <v>0.00153428537708013</v>
      </c>
      <c r="M118" s="17">
        <v>0.00247846099374483</v>
      </c>
      <c r="N118" s="17">
        <v>0.0900507494393957</v>
      </c>
      <c r="O118" s="17">
        <v>0.619047619047619</v>
      </c>
      <c r="P118" s="17">
        <v>6.87443050614741</v>
      </c>
      <c r="Q118" s="17">
        <v>0.0013110981071371</v>
      </c>
      <c r="R118" s="17">
        <v>2.38861678272158</v>
      </c>
      <c r="S118" s="17">
        <v>0.528996869608223</v>
      </c>
    </row>
    <row r="119">
      <c r="A119" s="16">
        <v>117.0</v>
      </c>
      <c r="B119" s="17" t="s">
        <v>868</v>
      </c>
      <c r="C119" s="17" t="s">
        <v>759</v>
      </c>
      <c r="D119" s="17">
        <v>0.00104931794333683</v>
      </c>
      <c r="E119" s="17">
        <v>0.00151568147370875</v>
      </c>
      <c r="F119" s="17">
        <v>4.57867634182043E-4</v>
      </c>
      <c r="G119" s="17">
        <v>0.692307692307692</v>
      </c>
      <c r="H119" s="17">
        <v>2.29174954724935</v>
      </c>
      <c r="I119" s="17">
        <v>0.00104862396184629</v>
      </c>
      <c r="J119" s="17">
        <v>3.2485119301889</v>
      </c>
      <c r="K119" s="17">
        <v>0.69184982467351</v>
      </c>
      <c r="L119" s="17">
        <v>0.0017790077090334</v>
      </c>
      <c r="M119" s="17">
        <v>0.00256967780193714</v>
      </c>
      <c r="N119" s="17">
        <v>0.268630164064044</v>
      </c>
      <c r="O119" s="17">
        <v>0.692307692307692</v>
      </c>
      <c r="P119" s="17">
        <v>2.57717778909831</v>
      </c>
      <c r="Q119" s="17">
        <v>0.00108871473950729</v>
      </c>
      <c r="R119" s="17">
        <v>2.37695196679185</v>
      </c>
      <c r="S119" s="17">
        <v>0.423677528243648</v>
      </c>
    </row>
    <row r="120">
      <c r="A120" s="16">
        <v>118.0</v>
      </c>
      <c r="B120" s="17" t="s">
        <v>869</v>
      </c>
      <c r="C120" s="17" t="s">
        <v>759</v>
      </c>
      <c r="D120" s="17">
        <v>0.00116590882592981</v>
      </c>
      <c r="E120" s="17">
        <v>0.00139909059111577</v>
      </c>
      <c r="F120" s="17">
        <v>4.2264704693727E-4</v>
      </c>
      <c r="G120" s="17">
        <v>0.833333333333333</v>
      </c>
      <c r="H120" s="17">
        <v>2.75858741798533</v>
      </c>
      <c r="I120" s="17">
        <v>0.00116531750442307</v>
      </c>
      <c r="J120" s="17">
        <v>5.99746411771837</v>
      </c>
      <c r="K120" s="17">
        <v>0.832910686286396</v>
      </c>
      <c r="L120" s="17">
        <v>0.00117041198501872</v>
      </c>
      <c r="M120" s="17">
        <v>0.00140449438202247</v>
      </c>
      <c r="N120" s="17">
        <v>0.301849250936329</v>
      </c>
      <c r="O120" s="17">
        <v>0.833333333333333</v>
      </c>
      <c r="P120" s="17">
        <v>2.76075998449011</v>
      </c>
      <c r="Q120" s="17">
        <v>7.4646640786096E-4</v>
      </c>
      <c r="R120" s="17">
        <v>4.18890449438202</v>
      </c>
      <c r="S120" s="17">
        <v>0.531484082397003</v>
      </c>
    </row>
    <row r="121">
      <c r="A121" s="16">
        <v>119.0</v>
      </c>
      <c r="B121" s="17" t="s">
        <v>870</v>
      </c>
      <c r="C121" s="17" t="s">
        <v>759</v>
      </c>
      <c r="D121" s="17">
        <v>0.00174886323889471</v>
      </c>
      <c r="E121" s="17">
        <v>0.00268159029963856</v>
      </c>
      <c r="F121" s="17">
        <v>8.10073506629769E-4</v>
      </c>
      <c r="G121" s="17">
        <v>0.652173913043478</v>
      </c>
      <c r="H121" s="17">
        <v>2.158894501032</v>
      </c>
      <c r="I121" s="17">
        <v>0.00174669095363734</v>
      </c>
      <c r="J121" s="17">
        <v>2.87267103866844</v>
      </c>
      <c r="K121" s="17">
        <v>0.651363839536848</v>
      </c>
      <c r="L121" s="17">
        <v>0.00175561797752808</v>
      </c>
      <c r="M121" s="17">
        <v>0.00269194756554307</v>
      </c>
      <c r="N121" s="17">
        <v>0.301849250936329</v>
      </c>
      <c r="O121" s="17">
        <v>0.652173913043478</v>
      </c>
      <c r="P121" s="17">
        <v>2.16059477047052</v>
      </c>
      <c r="Q121" s="17">
        <v>9.43055621309037E-4</v>
      </c>
      <c r="R121" s="17">
        <v>2.00718340355805</v>
      </c>
      <c r="S121" s="17">
        <v>0.350324662107148</v>
      </c>
    </row>
    <row r="122">
      <c r="A122" s="16">
        <v>120.0</v>
      </c>
      <c r="B122" s="17" t="s">
        <v>871</v>
      </c>
      <c r="C122" s="17" t="s">
        <v>771</v>
      </c>
      <c r="D122" s="17">
        <v>0.00104931794333683</v>
      </c>
      <c r="E122" s="17">
        <v>0.00209863588667366</v>
      </c>
      <c r="F122" s="17">
        <v>4.20852713661967E-4</v>
      </c>
      <c r="G122" s="17">
        <v>0.5</v>
      </c>
      <c r="H122" s="17">
        <v>2.49331395348837</v>
      </c>
      <c r="I122" s="17">
        <v>0.00104843472672893</v>
      </c>
      <c r="J122" s="17">
        <v>1.99915829457267</v>
      </c>
      <c r="K122" s="17">
        <v>0.499579147286338</v>
      </c>
      <c r="L122" s="17">
        <v>0.00105127905618502</v>
      </c>
      <c r="M122" s="17">
        <v>0.00210255811237005</v>
      </c>
      <c r="N122" s="17">
        <v>0.200677490947319</v>
      </c>
      <c r="O122" s="17">
        <v>0.5</v>
      </c>
      <c r="P122" s="17">
        <v>2.49155995343422</v>
      </c>
      <c r="Q122" s="17">
        <v>6.29342969623671E-4</v>
      </c>
      <c r="R122" s="17">
        <v>1.59864501810536</v>
      </c>
      <c r="S122" s="17">
        <v>0.29932250905268</v>
      </c>
    </row>
    <row r="123">
      <c r="A123" s="16">
        <v>121.0</v>
      </c>
      <c r="B123" s="17" t="s">
        <v>872</v>
      </c>
      <c r="C123" s="17" t="s">
        <v>759</v>
      </c>
      <c r="D123" s="17">
        <v>0.00104931794333683</v>
      </c>
      <c r="E123" s="17">
        <v>0.00116590882592981</v>
      </c>
      <c r="F123" s="17">
        <v>3.52205872447725E-4</v>
      </c>
      <c r="G123" s="17">
        <v>0.899999999999999</v>
      </c>
      <c r="H123" s="17">
        <v>2.97927441142416</v>
      </c>
      <c r="I123" s="17">
        <v>0.0010489073034016</v>
      </c>
      <c r="J123" s="17">
        <v>9.99647794127551</v>
      </c>
      <c r="K123" s="17">
        <v>0.899647794127552</v>
      </c>
      <c r="L123" s="17">
        <v>0.00105127905618502</v>
      </c>
      <c r="M123" s="17">
        <v>0.00116808784020558</v>
      </c>
      <c r="N123" s="17">
        <v>0.302067515477163</v>
      </c>
      <c r="O123" s="17">
        <v>0.9</v>
      </c>
      <c r="P123" s="17">
        <v>2.97946635730858</v>
      </c>
      <c r="Q123" s="17">
        <v>6.98437664435038E-4</v>
      </c>
      <c r="R123" s="17">
        <v>6.97932484522836</v>
      </c>
      <c r="S123" s="17">
        <v>0.597932484522836</v>
      </c>
    </row>
    <row r="124">
      <c r="A124" s="16">
        <v>122.0</v>
      </c>
      <c r="B124" s="17" t="s">
        <v>873</v>
      </c>
      <c r="C124" s="17" t="s">
        <v>759</v>
      </c>
      <c r="D124" s="17">
        <v>0.00104931794333683</v>
      </c>
      <c r="E124" s="17">
        <v>0.00128249970852279</v>
      </c>
      <c r="F124" s="17">
        <v>3.87426459692498E-4</v>
      </c>
      <c r="G124" s="17">
        <v>0.818181818181818</v>
      </c>
      <c r="H124" s="17">
        <v>2.70843128311287</v>
      </c>
      <c r="I124" s="17">
        <v>0.0010488210690152</v>
      </c>
      <c r="J124" s="17">
        <v>5.49786915447169</v>
      </c>
      <c r="K124" s="17">
        <v>0.817794391722125</v>
      </c>
      <c r="L124" s="17">
        <v>0.00106698280972139</v>
      </c>
      <c r="M124" s="17">
        <v>0.00130409010077059</v>
      </c>
      <c r="N124" s="17">
        <v>0.301600474214582</v>
      </c>
      <c r="O124" s="17">
        <v>0.818181818181818</v>
      </c>
      <c r="P124" s="17">
        <v>2.71280017152658</v>
      </c>
      <c r="Q124" s="17">
        <v>6.73668616910444E-4</v>
      </c>
      <c r="R124" s="17">
        <v>3.84119739181979</v>
      </c>
      <c r="S124" s="17">
        <v>0.516581343967236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1.0"/>
  </cols>
  <sheetData>
    <row r="1">
      <c r="A1" s="19" t="s">
        <v>874</v>
      </c>
      <c r="B1" s="20" t="s">
        <v>875</v>
      </c>
      <c r="C1" s="21" t="s">
        <v>876</v>
      </c>
      <c r="D1" s="21" t="s">
        <v>876</v>
      </c>
      <c r="E1" s="21">
        <v>3.0</v>
      </c>
      <c r="F1" s="21" t="s">
        <v>30</v>
      </c>
      <c r="G1" s="22">
        <f>+6285706546209</f>
        <v>6285706546209</v>
      </c>
      <c r="H1" s="23" t="s">
        <v>877</v>
      </c>
    </row>
    <row r="2">
      <c r="A2" s="19" t="s">
        <v>245</v>
      </c>
      <c r="B2" s="20" t="s">
        <v>875</v>
      </c>
      <c r="C2" s="21" t="s">
        <v>876</v>
      </c>
      <c r="D2" s="21" t="s">
        <v>876</v>
      </c>
      <c r="E2" s="21">
        <v>7.0</v>
      </c>
      <c r="F2" s="21" t="s">
        <v>30</v>
      </c>
      <c r="G2" s="22">
        <f>+6285856809606</f>
        <v>6285856809606</v>
      </c>
      <c r="H2" s="23" t="s">
        <v>877</v>
      </c>
    </row>
    <row r="3">
      <c r="A3" s="19" t="s">
        <v>57</v>
      </c>
      <c r="B3" s="20" t="s">
        <v>875</v>
      </c>
      <c r="C3" s="21" t="s">
        <v>876</v>
      </c>
      <c r="D3" s="21" t="s">
        <v>876</v>
      </c>
      <c r="E3" s="21">
        <v>5.0</v>
      </c>
      <c r="F3" s="21" t="s">
        <v>30</v>
      </c>
      <c r="G3" s="22">
        <f>+6281233371691</f>
        <v>6281233371691</v>
      </c>
      <c r="H3" s="23" t="s">
        <v>877</v>
      </c>
    </row>
    <row r="4">
      <c r="A4" s="19" t="s">
        <v>878</v>
      </c>
      <c r="B4" s="20" t="s">
        <v>875</v>
      </c>
      <c r="C4" s="21" t="s">
        <v>876</v>
      </c>
      <c r="D4" s="21" t="s">
        <v>876</v>
      </c>
      <c r="E4" s="21">
        <v>7.0</v>
      </c>
      <c r="F4" s="21" t="s">
        <v>30</v>
      </c>
      <c r="G4" s="22">
        <f>+6282141389375</f>
        <v>6282141389375</v>
      </c>
      <c r="H4" s="23" t="s">
        <v>877</v>
      </c>
    </row>
    <row r="5">
      <c r="A5" s="19" t="s">
        <v>720</v>
      </c>
      <c r="B5" s="20" t="s">
        <v>875</v>
      </c>
      <c r="C5" s="21" t="s">
        <v>876</v>
      </c>
      <c r="D5" s="21" t="s">
        <v>876</v>
      </c>
      <c r="E5" s="21">
        <v>5.0</v>
      </c>
      <c r="F5" s="21" t="s">
        <v>30</v>
      </c>
      <c r="G5" s="22">
        <f>+6281277391582</f>
        <v>6281277391582</v>
      </c>
      <c r="H5" s="23" t="s">
        <v>877</v>
      </c>
    </row>
    <row r="6">
      <c r="A6" s="19" t="s">
        <v>879</v>
      </c>
      <c r="B6" s="20" t="s">
        <v>875</v>
      </c>
      <c r="C6" s="21" t="s">
        <v>876</v>
      </c>
      <c r="D6" s="21" t="s">
        <v>876</v>
      </c>
      <c r="E6" s="21">
        <v>1.0</v>
      </c>
      <c r="F6" s="21" t="s">
        <v>30</v>
      </c>
      <c r="G6" s="22">
        <f>+6289637660828</f>
        <v>6289637660828</v>
      </c>
      <c r="H6" s="23" t="s">
        <v>877</v>
      </c>
    </row>
    <row r="7">
      <c r="A7" s="19" t="s">
        <v>880</v>
      </c>
      <c r="B7" s="20" t="s">
        <v>875</v>
      </c>
      <c r="C7" s="21" t="s">
        <v>876</v>
      </c>
      <c r="D7" s="21" t="s">
        <v>876</v>
      </c>
      <c r="E7" s="21">
        <v>5.0</v>
      </c>
      <c r="F7" s="21" t="s">
        <v>30</v>
      </c>
      <c r="G7" s="22">
        <f>+6282140605501</f>
        <v>6282140605501</v>
      </c>
      <c r="H7" s="23" t="s">
        <v>877</v>
      </c>
    </row>
    <row r="8">
      <c r="A8" s="19" t="s">
        <v>881</v>
      </c>
      <c r="B8" s="20" t="s">
        <v>875</v>
      </c>
      <c r="C8" s="21" t="s">
        <v>876</v>
      </c>
      <c r="D8" s="21" t="s">
        <v>876</v>
      </c>
      <c r="E8" s="21">
        <v>3.0</v>
      </c>
      <c r="F8" s="21" t="s">
        <v>30</v>
      </c>
      <c r="G8" s="22">
        <f>+6287764867208</f>
        <v>6287764867208</v>
      </c>
      <c r="H8" s="23" t="s">
        <v>877</v>
      </c>
    </row>
    <row r="9">
      <c r="A9" s="19" t="s">
        <v>882</v>
      </c>
      <c r="B9" s="20" t="s">
        <v>875</v>
      </c>
      <c r="C9" s="21" t="s">
        <v>876</v>
      </c>
      <c r="D9" s="21" t="s">
        <v>876</v>
      </c>
      <c r="E9" s="21">
        <v>1.0</v>
      </c>
      <c r="F9" s="21" t="s">
        <v>30</v>
      </c>
      <c r="G9" s="22">
        <f>+6281944590945</f>
        <v>6281944590945</v>
      </c>
      <c r="H9" s="23" t="s">
        <v>877</v>
      </c>
    </row>
    <row r="10">
      <c r="A10" s="19" t="s">
        <v>468</v>
      </c>
      <c r="B10" s="20" t="s">
        <v>875</v>
      </c>
      <c r="C10" s="21" t="s">
        <v>876</v>
      </c>
      <c r="D10" s="21" t="s">
        <v>876</v>
      </c>
      <c r="E10" s="21">
        <v>7.0</v>
      </c>
      <c r="F10" s="21" t="s">
        <v>30</v>
      </c>
      <c r="G10" s="22">
        <f>+6285646464301</f>
        <v>6285646464301</v>
      </c>
      <c r="H10" s="23" t="s">
        <v>877</v>
      </c>
    </row>
    <row r="11">
      <c r="A11" s="19" t="s">
        <v>883</v>
      </c>
      <c r="B11" s="20" t="s">
        <v>875</v>
      </c>
      <c r="C11" s="21" t="s">
        <v>876</v>
      </c>
      <c r="D11" s="21" t="s">
        <v>876</v>
      </c>
      <c r="E11" s="21">
        <v>1.0</v>
      </c>
      <c r="F11" s="21" t="s">
        <v>30</v>
      </c>
      <c r="G11" s="22">
        <f>+6285791904786</f>
        <v>6285791904786</v>
      </c>
      <c r="H11" s="23" t="s">
        <v>877</v>
      </c>
    </row>
    <row r="12">
      <c r="A12" s="19" t="s">
        <v>546</v>
      </c>
      <c r="B12" s="20" t="s">
        <v>875</v>
      </c>
      <c r="C12" s="21" t="s">
        <v>876</v>
      </c>
      <c r="D12" s="21" t="s">
        <v>876</v>
      </c>
      <c r="E12" s="21">
        <v>1.0</v>
      </c>
      <c r="F12" s="21" t="s">
        <v>30</v>
      </c>
      <c r="G12" s="22">
        <f>+6285707744517</f>
        <v>6285707744517</v>
      </c>
      <c r="H12" s="23" t="s">
        <v>877</v>
      </c>
    </row>
    <row r="13">
      <c r="A13" s="19" t="s">
        <v>622</v>
      </c>
      <c r="B13" s="20" t="s">
        <v>875</v>
      </c>
      <c r="C13" s="21" t="s">
        <v>876</v>
      </c>
      <c r="D13" s="21" t="s">
        <v>876</v>
      </c>
      <c r="E13" s="21">
        <v>5.0</v>
      </c>
      <c r="F13" s="21" t="s">
        <v>30</v>
      </c>
      <c r="G13" s="22">
        <f>+6285808474442</f>
        <v>6285808474442</v>
      </c>
      <c r="H13" s="23" t="s">
        <v>877</v>
      </c>
    </row>
    <row r="14">
      <c r="A14" s="19" t="s">
        <v>884</v>
      </c>
      <c r="B14" s="20" t="s">
        <v>875</v>
      </c>
      <c r="C14" s="21" t="s">
        <v>876</v>
      </c>
      <c r="D14" s="21" t="s">
        <v>876</v>
      </c>
      <c r="E14" s="21">
        <v>2.0</v>
      </c>
      <c r="F14" s="21" t="s">
        <v>30</v>
      </c>
      <c r="G14" s="22">
        <f>+6285266955416</f>
        <v>6285266955416</v>
      </c>
      <c r="H14" s="23" t="s">
        <v>877</v>
      </c>
    </row>
    <row r="15">
      <c r="A15" s="19" t="s">
        <v>153</v>
      </c>
      <c r="B15" s="20" t="s">
        <v>875</v>
      </c>
      <c r="C15" s="21" t="s">
        <v>876</v>
      </c>
      <c r="D15" s="21" t="s">
        <v>876</v>
      </c>
      <c r="E15" s="21">
        <v>7.0</v>
      </c>
      <c r="F15" s="21" t="s">
        <v>30</v>
      </c>
      <c r="G15" s="22">
        <f>+6281913080601</f>
        <v>6281913080601</v>
      </c>
      <c r="H15" s="23" t="s">
        <v>877</v>
      </c>
    </row>
    <row r="16">
      <c r="A16" s="19" t="s">
        <v>308</v>
      </c>
      <c r="B16" s="20" t="s">
        <v>875</v>
      </c>
      <c r="C16" s="21" t="s">
        <v>876</v>
      </c>
      <c r="D16" s="21" t="s">
        <v>876</v>
      </c>
      <c r="E16" s="21">
        <v>7.0</v>
      </c>
      <c r="F16" s="21" t="s">
        <v>30</v>
      </c>
      <c r="G16" s="22">
        <f>+6285231855789</f>
        <v>6285231855789</v>
      </c>
      <c r="H16" s="23" t="s">
        <v>877</v>
      </c>
    </row>
    <row r="17">
      <c r="A17" s="19" t="s">
        <v>461</v>
      </c>
      <c r="B17" s="20" t="s">
        <v>875</v>
      </c>
      <c r="C17" s="21" t="s">
        <v>876</v>
      </c>
      <c r="D17" s="21" t="s">
        <v>876</v>
      </c>
      <c r="E17" s="21">
        <v>3.0</v>
      </c>
      <c r="F17" s="21" t="s">
        <v>30</v>
      </c>
      <c r="G17" s="22">
        <f>+6285290556613</f>
        <v>6285290556613</v>
      </c>
      <c r="H17" s="23" t="s">
        <v>877</v>
      </c>
    </row>
    <row r="18">
      <c r="A18" s="19" t="s">
        <v>39</v>
      </c>
      <c r="B18" s="20" t="s">
        <v>875</v>
      </c>
      <c r="C18" s="21" t="s">
        <v>876</v>
      </c>
      <c r="D18" s="21" t="s">
        <v>876</v>
      </c>
      <c r="E18" s="21">
        <v>1.0</v>
      </c>
      <c r="F18" s="21" t="s">
        <v>30</v>
      </c>
      <c r="G18" s="22">
        <f>+6281515540614</f>
        <v>6281515540614</v>
      </c>
      <c r="H18" s="23" t="s">
        <v>877</v>
      </c>
    </row>
    <row r="19">
      <c r="A19" s="19" t="s">
        <v>591</v>
      </c>
      <c r="B19" s="20" t="s">
        <v>875</v>
      </c>
      <c r="C19" s="21" t="s">
        <v>876</v>
      </c>
      <c r="D19" s="21" t="s">
        <v>876</v>
      </c>
      <c r="E19" s="21">
        <v>5.0</v>
      </c>
      <c r="F19" s="21" t="s">
        <v>30</v>
      </c>
      <c r="G19" s="22">
        <f>+6285925790692</f>
        <v>6285925790692</v>
      </c>
      <c r="H19" s="23" t="s">
        <v>877</v>
      </c>
    </row>
    <row r="20">
      <c r="A20" s="19" t="s">
        <v>885</v>
      </c>
      <c r="B20" s="20" t="s">
        <v>875</v>
      </c>
      <c r="C20" s="21" t="s">
        <v>876</v>
      </c>
      <c r="D20" s="21" t="s">
        <v>876</v>
      </c>
      <c r="E20" s="21">
        <v>1.0</v>
      </c>
      <c r="F20" s="21" t="s">
        <v>30</v>
      </c>
      <c r="G20" s="22">
        <f>+6285604887236</f>
        <v>6285604887236</v>
      </c>
      <c r="H20" s="23" t="s">
        <v>877</v>
      </c>
    </row>
    <row r="21">
      <c r="A21" s="19" t="s">
        <v>886</v>
      </c>
      <c r="B21" s="20" t="s">
        <v>875</v>
      </c>
      <c r="C21" s="21" t="s">
        <v>876</v>
      </c>
      <c r="D21" s="21" t="s">
        <v>876</v>
      </c>
      <c r="E21" s="21">
        <v>1.0</v>
      </c>
      <c r="F21" s="21" t="s">
        <v>30</v>
      </c>
      <c r="G21" s="22">
        <f>+6285608625860</f>
        <v>6285608625860</v>
      </c>
      <c r="H21" s="23" t="s">
        <v>877</v>
      </c>
    </row>
    <row r="22">
      <c r="A22" s="19" t="s">
        <v>212</v>
      </c>
      <c r="B22" s="20" t="s">
        <v>875</v>
      </c>
      <c r="C22" s="21" t="s">
        <v>876</v>
      </c>
      <c r="D22" s="21" t="s">
        <v>876</v>
      </c>
      <c r="E22" s="21">
        <v>3.0</v>
      </c>
      <c r="F22" s="21" t="s">
        <v>30</v>
      </c>
      <c r="G22" s="22">
        <f>+6281275902829</f>
        <v>6281275902829</v>
      </c>
      <c r="H22" s="23" t="s">
        <v>877</v>
      </c>
    </row>
    <row r="23">
      <c r="A23" s="19" t="s">
        <v>144</v>
      </c>
      <c r="B23" s="20" t="s">
        <v>875</v>
      </c>
      <c r="C23" s="21" t="s">
        <v>876</v>
      </c>
      <c r="D23" s="21" t="s">
        <v>876</v>
      </c>
      <c r="E23" s="21">
        <v>5.0</v>
      </c>
      <c r="F23" s="21" t="s">
        <v>30</v>
      </c>
      <c r="G23" s="22">
        <f>+6282399597854</f>
        <v>6282399597854</v>
      </c>
      <c r="H23" s="23" t="s">
        <v>877</v>
      </c>
    </row>
    <row r="24">
      <c r="A24" s="19" t="s">
        <v>415</v>
      </c>
      <c r="B24" s="20" t="s">
        <v>875</v>
      </c>
      <c r="C24" s="21" t="s">
        <v>876</v>
      </c>
      <c r="D24" s="21" t="s">
        <v>876</v>
      </c>
      <c r="E24" s="21">
        <v>5.0</v>
      </c>
      <c r="F24" s="21" t="s">
        <v>30</v>
      </c>
      <c r="G24" s="22">
        <f>+6281539282914</f>
        <v>6281539282914</v>
      </c>
      <c r="H24" s="23" t="s">
        <v>877</v>
      </c>
    </row>
    <row r="25">
      <c r="A25" s="19" t="s">
        <v>323</v>
      </c>
      <c r="B25" s="20" t="s">
        <v>875</v>
      </c>
      <c r="C25" s="21" t="s">
        <v>876</v>
      </c>
      <c r="D25" s="21" t="s">
        <v>876</v>
      </c>
      <c r="E25" s="21">
        <v>5.0</v>
      </c>
      <c r="F25" s="21" t="s">
        <v>30</v>
      </c>
      <c r="G25" s="22">
        <f>+6287875300953</f>
        <v>6287875300953</v>
      </c>
      <c r="H25" s="23" t="s">
        <v>877</v>
      </c>
    </row>
    <row r="26">
      <c r="A26" s="19" t="s">
        <v>439</v>
      </c>
      <c r="B26" s="20" t="s">
        <v>875</v>
      </c>
      <c r="C26" s="21" t="s">
        <v>876</v>
      </c>
      <c r="D26" s="21" t="s">
        <v>876</v>
      </c>
      <c r="E26" s="21">
        <v>6.0</v>
      </c>
      <c r="F26" s="21" t="s">
        <v>30</v>
      </c>
      <c r="G26" s="22">
        <f>+62881026332138</f>
        <v>62881026332138</v>
      </c>
      <c r="H26" s="23" t="s">
        <v>877</v>
      </c>
    </row>
    <row r="27">
      <c r="A27" s="19" t="s">
        <v>490</v>
      </c>
      <c r="B27" s="20" t="s">
        <v>875</v>
      </c>
      <c r="C27" s="21" t="s">
        <v>876</v>
      </c>
      <c r="D27" s="21" t="s">
        <v>876</v>
      </c>
      <c r="E27" s="21">
        <v>3.0</v>
      </c>
      <c r="F27" s="21" t="s">
        <v>30</v>
      </c>
      <c r="G27" s="22">
        <f>+6281234305892</f>
        <v>6281234305892</v>
      </c>
      <c r="H27" s="23" t="s">
        <v>877</v>
      </c>
    </row>
    <row r="28">
      <c r="A28" s="19" t="s">
        <v>506</v>
      </c>
      <c r="B28" s="20" t="s">
        <v>875</v>
      </c>
      <c r="C28" s="21" t="s">
        <v>876</v>
      </c>
      <c r="D28" s="21" t="s">
        <v>876</v>
      </c>
      <c r="E28" s="21">
        <v>3.0</v>
      </c>
      <c r="F28" s="21" t="s">
        <v>30</v>
      </c>
      <c r="G28" s="22">
        <f>+6285817888406</f>
        <v>6285817888406</v>
      </c>
      <c r="H28" s="23" t="s">
        <v>877</v>
      </c>
    </row>
    <row r="29">
      <c r="A29" s="19" t="s">
        <v>599</v>
      </c>
      <c r="B29" s="20" t="s">
        <v>875</v>
      </c>
      <c r="C29" s="21" t="s">
        <v>876</v>
      </c>
      <c r="D29" s="21" t="s">
        <v>876</v>
      </c>
      <c r="E29" s="21">
        <v>7.0</v>
      </c>
      <c r="F29" s="21" t="s">
        <v>30</v>
      </c>
      <c r="G29" s="22">
        <f>+6285748552173</f>
        <v>6285748552173</v>
      </c>
      <c r="H29" s="23" t="s">
        <v>877</v>
      </c>
    </row>
    <row r="30">
      <c r="A30" s="19" t="s">
        <v>197</v>
      </c>
      <c r="B30" s="20" t="s">
        <v>875</v>
      </c>
      <c r="C30" s="21" t="s">
        <v>876</v>
      </c>
      <c r="D30" s="21" t="s">
        <v>876</v>
      </c>
      <c r="E30" s="21">
        <v>3.0</v>
      </c>
      <c r="F30" s="21" t="s">
        <v>30</v>
      </c>
      <c r="G30" s="22">
        <f>+6285828907762</f>
        <v>6285828907762</v>
      </c>
      <c r="H30" s="23" t="s">
        <v>877</v>
      </c>
    </row>
    <row r="31">
      <c r="A31" s="19" t="s">
        <v>887</v>
      </c>
      <c r="B31" s="20" t="s">
        <v>875</v>
      </c>
      <c r="C31" s="21" t="s">
        <v>876</v>
      </c>
      <c r="D31" s="21" t="s">
        <v>876</v>
      </c>
      <c r="E31" s="21">
        <v>7.0</v>
      </c>
      <c r="F31" s="21" t="s">
        <v>30</v>
      </c>
      <c r="G31" s="22">
        <f>+6285230381563</f>
        <v>6285230381563</v>
      </c>
      <c r="H31" s="23" t="s">
        <v>877</v>
      </c>
    </row>
    <row r="32">
      <c r="A32" s="19" t="s">
        <v>532</v>
      </c>
      <c r="B32" s="20" t="s">
        <v>875</v>
      </c>
      <c r="C32" s="21" t="s">
        <v>876</v>
      </c>
      <c r="D32" s="21" t="s">
        <v>876</v>
      </c>
      <c r="E32" s="21">
        <v>2.0</v>
      </c>
      <c r="F32" s="21" t="s">
        <v>30</v>
      </c>
      <c r="G32" s="21" t="s">
        <v>888</v>
      </c>
      <c r="H32" s="23" t="s">
        <v>877</v>
      </c>
    </row>
    <row r="33">
      <c r="A33" s="19" t="s">
        <v>889</v>
      </c>
      <c r="B33" s="20" t="s">
        <v>875</v>
      </c>
      <c r="C33" s="21" t="s">
        <v>876</v>
      </c>
      <c r="D33" s="21" t="s">
        <v>876</v>
      </c>
      <c r="E33" s="21">
        <v>5.0</v>
      </c>
      <c r="F33" s="21" t="s">
        <v>30</v>
      </c>
      <c r="G33" s="22">
        <f>+6282132795556</f>
        <v>6282132795556</v>
      </c>
      <c r="H33" s="23" t="s">
        <v>877</v>
      </c>
    </row>
    <row r="34">
      <c r="A34" s="19" t="s">
        <v>315</v>
      </c>
      <c r="B34" s="20" t="s">
        <v>875</v>
      </c>
      <c r="C34" s="21" t="s">
        <v>876</v>
      </c>
      <c r="D34" s="21" t="s">
        <v>876</v>
      </c>
      <c r="E34" s="21">
        <v>1.0</v>
      </c>
      <c r="F34" s="21" t="s">
        <v>30</v>
      </c>
      <c r="G34" s="22">
        <f>+6285648848766</f>
        <v>6285648848766</v>
      </c>
      <c r="H34" s="23" t="s">
        <v>877</v>
      </c>
    </row>
    <row r="35">
      <c r="A35" s="19" t="s">
        <v>576</v>
      </c>
      <c r="B35" s="20" t="s">
        <v>875</v>
      </c>
      <c r="C35" s="21" t="s">
        <v>876</v>
      </c>
      <c r="D35" s="21" t="s">
        <v>876</v>
      </c>
      <c r="E35" s="21">
        <v>1.0</v>
      </c>
      <c r="F35" s="21" t="s">
        <v>30</v>
      </c>
      <c r="G35" s="22">
        <f>+6282333878623</f>
        <v>6282333878623</v>
      </c>
      <c r="H35" s="23" t="s">
        <v>877</v>
      </c>
    </row>
    <row r="36">
      <c r="A36" s="19" t="s">
        <v>890</v>
      </c>
      <c r="B36" s="20" t="s">
        <v>875</v>
      </c>
      <c r="C36" s="21" t="s">
        <v>876</v>
      </c>
      <c r="D36" s="21" t="s">
        <v>876</v>
      </c>
      <c r="E36" s="21">
        <v>7.0</v>
      </c>
      <c r="F36" s="21" t="s">
        <v>30</v>
      </c>
      <c r="G36" s="22">
        <f>+6282139819010</f>
        <v>6282139819010</v>
      </c>
      <c r="H36" s="23" t="s">
        <v>877</v>
      </c>
    </row>
    <row r="37">
      <c r="A37" s="19" t="s">
        <v>220</v>
      </c>
      <c r="B37" s="20" t="s">
        <v>875</v>
      </c>
      <c r="C37" s="21" t="s">
        <v>876</v>
      </c>
      <c r="D37" s="21" t="s">
        <v>876</v>
      </c>
      <c r="E37" s="21">
        <v>2.0</v>
      </c>
      <c r="F37" s="21" t="s">
        <v>30</v>
      </c>
      <c r="G37" s="22">
        <f>+6282131779022</f>
        <v>6282131779022</v>
      </c>
      <c r="H37" s="23" t="s">
        <v>877</v>
      </c>
    </row>
    <row r="38">
      <c r="A38" s="19" t="s">
        <v>332</v>
      </c>
      <c r="B38" s="20" t="s">
        <v>875</v>
      </c>
      <c r="C38" s="21" t="s">
        <v>876</v>
      </c>
      <c r="D38" s="21" t="s">
        <v>876</v>
      </c>
      <c r="E38" s="21">
        <v>1.0</v>
      </c>
      <c r="F38" s="21" t="s">
        <v>30</v>
      </c>
      <c r="G38" s="22">
        <f>+6285707727515</f>
        <v>6285707727515</v>
      </c>
      <c r="H38" s="23" t="s">
        <v>877</v>
      </c>
    </row>
    <row r="39">
      <c r="A39" s="19" t="s">
        <v>269</v>
      </c>
      <c r="B39" s="20" t="s">
        <v>875</v>
      </c>
      <c r="C39" s="21" t="s">
        <v>876</v>
      </c>
      <c r="D39" s="21" t="s">
        <v>876</v>
      </c>
      <c r="E39" s="21">
        <v>1.0</v>
      </c>
      <c r="F39" s="21" t="s">
        <v>30</v>
      </c>
      <c r="G39" s="22">
        <f>+6282257337689</f>
        <v>6282257337689</v>
      </c>
      <c r="H39" s="23" t="s">
        <v>877</v>
      </c>
    </row>
    <row r="40">
      <c r="A40" s="19" t="s">
        <v>891</v>
      </c>
      <c r="B40" s="20" t="s">
        <v>875</v>
      </c>
      <c r="C40" s="21" t="s">
        <v>876</v>
      </c>
      <c r="D40" s="21" t="s">
        <v>876</v>
      </c>
      <c r="E40" s="21">
        <v>5.0</v>
      </c>
      <c r="F40" s="21" t="s">
        <v>30</v>
      </c>
      <c r="G40" s="22">
        <f>+6283110072259</f>
        <v>6283110072259</v>
      </c>
      <c r="H40" s="23" t="s">
        <v>877</v>
      </c>
    </row>
    <row r="41">
      <c r="A41" s="24" t="s">
        <v>892</v>
      </c>
      <c r="B41" s="20" t="s">
        <v>875</v>
      </c>
      <c r="C41" s="25" t="s">
        <v>876</v>
      </c>
      <c r="D41" s="25" t="s">
        <v>876</v>
      </c>
      <c r="E41" s="25">
        <v>5.0</v>
      </c>
      <c r="F41" s="25" t="s">
        <v>30</v>
      </c>
      <c r="G41" s="26">
        <f>+6285936619468</f>
        <v>6285936619468</v>
      </c>
      <c r="H41" s="23" t="s">
        <v>877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874</v>
      </c>
      <c r="B1" s="21" t="s">
        <v>893</v>
      </c>
      <c r="C1" s="21" t="s">
        <v>33</v>
      </c>
      <c r="D1" s="21">
        <v>4.0</v>
      </c>
      <c r="E1" s="21" t="s">
        <v>107</v>
      </c>
      <c r="F1" s="21">
        <v>2025.0</v>
      </c>
      <c r="G1" s="22">
        <f>+6285732288832</f>
        <v>6285732288832</v>
      </c>
      <c r="H1" s="22">
        <f>+6285706546209</f>
        <v>6285706546209</v>
      </c>
      <c r="I1" s="20" t="s">
        <v>875</v>
      </c>
      <c r="J1" s="20" t="s">
        <v>21</v>
      </c>
      <c r="K1" s="27" t="s">
        <v>894</v>
      </c>
    </row>
    <row r="2">
      <c r="A2" s="21" t="s">
        <v>127</v>
      </c>
      <c r="B2" s="21" t="s">
        <v>895</v>
      </c>
      <c r="C2" s="21" t="s">
        <v>33</v>
      </c>
      <c r="D2" s="21">
        <v>8.0</v>
      </c>
      <c r="E2" s="21" t="s">
        <v>125</v>
      </c>
      <c r="F2" s="21">
        <v>2025.0</v>
      </c>
      <c r="G2" s="22"/>
      <c r="H2" s="22">
        <f>+6285645269637</f>
        <v>6285645269637</v>
      </c>
      <c r="I2" s="20" t="s">
        <v>875</v>
      </c>
      <c r="J2" s="20" t="s">
        <v>21</v>
      </c>
      <c r="K2" s="27" t="s">
        <v>894</v>
      </c>
    </row>
    <row r="3">
      <c r="A3" s="21" t="s">
        <v>690</v>
      </c>
      <c r="B3" s="21" t="s">
        <v>896</v>
      </c>
      <c r="C3" s="21" t="s">
        <v>33</v>
      </c>
      <c r="D3" s="21">
        <v>8.0</v>
      </c>
      <c r="E3" s="21" t="s">
        <v>688</v>
      </c>
      <c r="F3" s="21">
        <v>2025.0</v>
      </c>
      <c r="G3" s="22"/>
      <c r="H3" s="22">
        <f>+6285784541496</f>
        <v>6285784541496</v>
      </c>
      <c r="I3" s="28" t="s">
        <v>897</v>
      </c>
      <c r="J3" s="20" t="s">
        <v>21</v>
      </c>
      <c r="K3" s="27" t="s">
        <v>894</v>
      </c>
    </row>
    <row r="4">
      <c r="A4" s="21" t="s">
        <v>898</v>
      </c>
      <c r="B4" s="21" t="s">
        <v>899</v>
      </c>
      <c r="C4" s="21" t="s">
        <v>33</v>
      </c>
      <c r="D4" s="21">
        <v>6.0</v>
      </c>
      <c r="E4" s="21" t="s">
        <v>429</v>
      </c>
      <c r="F4" s="21">
        <v>2025.0</v>
      </c>
      <c r="G4" s="22">
        <f>+626582785804</f>
        <v>626582785804</v>
      </c>
      <c r="H4" s="22">
        <f>+6282143233424</f>
        <v>6282143233424</v>
      </c>
      <c r="I4" s="20" t="s">
        <v>875</v>
      </c>
      <c r="J4" s="20" t="s">
        <v>21</v>
      </c>
      <c r="K4" s="27" t="s">
        <v>894</v>
      </c>
    </row>
    <row r="5">
      <c r="A5" s="21" t="s">
        <v>245</v>
      </c>
      <c r="B5" s="21" t="s">
        <v>900</v>
      </c>
      <c r="C5" s="21" t="s">
        <v>33</v>
      </c>
      <c r="D5" s="21">
        <v>8.0</v>
      </c>
      <c r="E5" s="21" t="s">
        <v>142</v>
      </c>
      <c r="F5" s="21">
        <v>2025.0</v>
      </c>
      <c r="G5" s="22">
        <f>+6287705705888</f>
        <v>6287705705888</v>
      </c>
      <c r="H5" s="22">
        <f>+6285856809606</f>
        <v>6285856809606</v>
      </c>
      <c r="I5" s="20" t="s">
        <v>875</v>
      </c>
      <c r="J5" s="20" t="s">
        <v>21</v>
      </c>
      <c r="K5" s="27" t="s">
        <v>894</v>
      </c>
    </row>
    <row r="6">
      <c r="A6" s="21" t="s">
        <v>901</v>
      </c>
      <c r="B6" s="21" t="s">
        <v>902</v>
      </c>
      <c r="C6" s="21" t="s">
        <v>33</v>
      </c>
      <c r="D6" s="21">
        <v>6.0</v>
      </c>
      <c r="E6" s="21" t="s">
        <v>25</v>
      </c>
      <c r="F6" s="21">
        <v>2025.0</v>
      </c>
      <c r="G6" s="22">
        <f>+6287880006503</f>
        <v>6287880006503</v>
      </c>
      <c r="H6" s="22">
        <f>+6287849898319</f>
        <v>6287849898319</v>
      </c>
      <c r="I6" s="20" t="s">
        <v>875</v>
      </c>
      <c r="J6" s="20" t="s">
        <v>21</v>
      </c>
      <c r="K6" s="27" t="s">
        <v>894</v>
      </c>
    </row>
    <row r="7">
      <c r="A7" s="21" t="s">
        <v>57</v>
      </c>
      <c r="B7" s="21" t="s">
        <v>903</v>
      </c>
      <c r="C7" s="21" t="s">
        <v>33</v>
      </c>
      <c r="D7" s="21">
        <v>6.0</v>
      </c>
      <c r="E7" s="21" t="s">
        <v>55</v>
      </c>
      <c r="F7" s="21">
        <v>2025.0</v>
      </c>
      <c r="G7" s="22"/>
      <c r="H7" s="22">
        <f>+6281233371691</f>
        <v>6281233371691</v>
      </c>
      <c r="I7" s="20" t="s">
        <v>875</v>
      </c>
      <c r="J7" s="20" t="s">
        <v>21</v>
      </c>
      <c r="K7" s="27" t="s">
        <v>894</v>
      </c>
    </row>
    <row r="8">
      <c r="A8" s="21" t="s">
        <v>285</v>
      </c>
      <c r="B8" s="21" t="s">
        <v>904</v>
      </c>
      <c r="C8" s="21" t="s">
        <v>33</v>
      </c>
      <c r="D8" s="21">
        <v>6.0</v>
      </c>
      <c r="E8" s="21" t="s">
        <v>25</v>
      </c>
      <c r="F8" s="21">
        <v>2025.0</v>
      </c>
      <c r="G8" s="22"/>
      <c r="H8" s="22">
        <f>+6285748123782</f>
        <v>6285748123782</v>
      </c>
      <c r="I8" s="20" t="s">
        <v>875</v>
      </c>
      <c r="J8" s="20" t="s">
        <v>21</v>
      </c>
      <c r="K8" s="27" t="s">
        <v>894</v>
      </c>
    </row>
    <row r="9">
      <c r="A9" s="21" t="s">
        <v>878</v>
      </c>
      <c r="B9" s="21" t="s">
        <v>905</v>
      </c>
      <c r="C9" s="21" t="s">
        <v>33</v>
      </c>
      <c r="D9" s="21">
        <v>8.0</v>
      </c>
      <c r="E9" s="21" t="s">
        <v>236</v>
      </c>
      <c r="F9" s="21">
        <v>2025.0</v>
      </c>
      <c r="G9" s="22">
        <f>+6281252755659</f>
        <v>6281252755659</v>
      </c>
      <c r="H9" s="22">
        <f>+6282141389375</f>
        <v>6282141389375</v>
      </c>
      <c r="I9" s="20" t="s">
        <v>875</v>
      </c>
      <c r="J9" s="20" t="s">
        <v>21</v>
      </c>
      <c r="K9" s="27" t="s">
        <v>894</v>
      </c>
    </row>
    <row r="10">
      <c r="A10" s="21" t="s">
        <v>100</v>
      </c>
      <c r="B10" s="21" t="s">
        <v>906</v>
      </c>
      <c r="C10" s="21" t="s">
        <v>33</v>
      </c>
      <c r="D10" s="21">
        <v>2.0</v>
      </c>
      <c r="E10" s="21" t="s">
        <v>37</v>
      </c>
      <c r="F10" s="21">
        <v>2025.0</v>
      </c>
      <c r="G10" s="22">
        <f t="shared" ref="G10:H10" si="1">+6282132557345</f>
        <v>6282132557345</v>
      </c>
      <c r="H10" s="22">
        <f t="shared" si="1"/>
        <v>6282132557345</v>
      </c>
      <c r="I10" s="28" t="s">
        <v>897</v>
      </c>
      <c r="J10" s="20" t="s">
        <v>21</v>
      </c>
      <c r="K10" s="27" t="s">
        <v>894</v>
      </c>
    </row>
    <row r="11">
      <c r="A11" s="21" t="s">
        <v>907</v>
      </c>
      <c r="B11" s="21" t="s">
        <v>908</v>
      </c>
      <c r="C11" s="21" t="s">
        <v>33</v>
      </c>
      <c r="D11" s="21">
        <v>2.0</v>
      </c>
      <c r="E11" s="21" t="s">
        <v>25</v>
      </c>
      <c r="F11" s="21">
        <v>2025.0</v>
      </c>
      <c r="G11" s="22">
        <f t="shared" ref="G11:H11" si="2">+6282220344471</f>
        <v>6282220344471</v>
      </c>
      <c r="H11" s="22">
        <f t="shared" si="2"/>
        <v>6282220344471</v>
      </c>
      <c r="I11" s="28" t="s">
        <v>897</v>
      </c>
      <c r="J11" s="20" t="s">
        <v>21</v>
      </c>
      <c r="K11" s="27" t="s">
        <v>894</v>
      </c>
    </row>
    <row r="12">
      <c r="A12" s="21" t="s">
        <v>48</v>
      </c>
      <c r="B12" s="21" t="s">
        <v>904</v>
      </c>
      <c r="C12" s="21" t="s">
        <v>33</v>
      </c>
      <c r="D12" s="21">
        <v>6.0</v>
      </c>
      <c r="E12" s="21" t="s">
        <v>46</v>
      </c>
      <c r="F12" s="21">
        <v>2025.0</v>
      </c>
      <c r="G12" s="22">
        <f>+62895359667751</f>
        <v>62895359667751</v>
      </c>
      <c r="H12" s="22">
        <f>+62895361138744</f>
        <v>62895361138744</v>
      </c>
      <c r="I12" s="20" t="s">
        <v>875</v>
      </c>
      <c r="J12" s="20" t="s">
        <v>21</v>
      </c>
      <c r="K12" s="27" t="s">
        <v>894</v>
      </c>
    </row>
    <row r="13">
      <c r="A13" s="21" t="s">
        <v>720</v>
      </c>
      <c r="B13" s="21" t="s">
        <v>903</v>
      </c>
      <c r="C13" s="21" t="s">
        <v>33</v>
      </c>
      <c r="D13" s="21">
        <v>6.0</v>
      </c>
      <c r="E13" s="21" t="s">
        <v>718</v>
      </c>
      <c r="F13" s="21">
        <v>2025.0</v>
      </c>
      <c r="G13" s="22">
        <f>+6282217355433</f>
        <v>6282217355433</v>
      </c>
      <c r="H13" s="22">
        <f>+6281277391582</f>
        <v>6281277391582</v>
      </c>
      <c r="I13" s="20" t="s">
        <v>875</v>
      </c>
      <c r="J13" s="20" t="s">
        <v>21</v>
      </c>
      <c r="K13" s="27" t="s">
        <v>894</v>
      </c>
    </row>
    <row r="14">
      <c r="A14" s="21" t="s">
        <v>909</v>
      </c>
      <c r="B14" s="21" t="s">
        <v>910</v>
      </c>
      <c r="C14" s="21" t="s">
        <v>33</v>
      </c>
      <c r="D14" s="21">
        <v>2.0</v>
      </c>
      <c r="E14" s="21" t="s">
        <v>258</v>
      </c>
      <c r="F14" s="21">
        <v>2025.0</v>
      </c>
      <c r="G14" s="22">
        <f>+62882003571385</f>
        <v>62882003571385</v>
      </c>
      <c r="H14" s="22">
        <f>+62882003360151</f>
        <v>62882003360151</v>
      </c>
      <c r="I14" s="28" t="s">
        <v>897</v>
      </c>
      <c r="J14" s="20" t="s">
        <v>21</v>
      </c>
      <c r="K14" s="27" t="s">
        <v>894</v>
      </c>
    </row>
    <row r="15">
      <c r="A15" s="21" t="s">
        <v>475</v>
      </c>
      <c r="B15" s="21" t="s">
        <v>911</v>
      </c>
      <c r="C15" s="21" t="s">
        <v>33</v>
      </c>
      <c r="D15" s="21">
        <v>8.0</v>
      </c>
      <c r="E15" s="21" t="s">
        <v>160</v>
      </c>
      <c r="F15" s="21">
        <v>2025.0</v>
      </c>
      <c r="G15" s="22">
        <f>+6287760200904</f>
        <v>6287760200904</v>
      </c>
      <c r="H15" s="22">
        <f>+6287851960741</f>
        <v>6287851960741</v>
      </c>
      <c r="I15" s="28" t="s">
        <v>897</v>
      </c>
      <c r="J15" s="20" t="s">
        <v>21</v>
      </c>
      <c r="K15" s="27" t="s">
        <v>894</v>
      </c>
    </row>
    <row r="16">
      <c r="A16" s="21" t="s">
        <v>879</v>
      </c>
      <c r="B16" s="21" t="s">
        <v>906</v>
      </c>
      <c r="C16" s="21" t="s">
        <v>33</v>
      </c>
      <c r="D16" s="21">
        <v>2.0</v>
      </c>
      <c r="E16" s="21" t="s">
        <v>37</v>
      </c>
      <c r="F16" s="21">
        <v>2025.0</v>
      </c>
      <c r="G16" s="22">
        <f>+6285731587765</f>
        <v>6285731587765</v>
      </c>
      <c r="H16" s="22">
        <f>+6289637660828</f>
        <v>6289637660828</v>
      </c>
      <c r="I16" s="20" t="s">
        <v>875</v>
      </c>
      <c r="J16" s="20" t="s">
        <v>21</v>
      </c>
      <c r="K16" s="27" t="s">
        <v>894</v>
      </c>
    </row>
    <row r="17">
      <c r="A17" s="21" t="s">
        <v>912</v>
      </c>
      <c r="B17" s="21" t="s">
        <v>905</v>
      </c>
      <c r="C17" s="21" t="s">
        <v>913</v>
      </c>
      <c r="D17" s="21" t="s">
        <v>30</v>
      </c>
      <c r="E17" s="21" t="s">
        <v>275</v>
      </c>
      <c r="F17" s="21">
        <v>2025.0</v>
      </c>
      <c r="G17" s="22"/>
      <c r="H17" s="22">
        <f>+6289634210106</f>
        <v>6289634210106</v>
      </c>
      <c r="I17" s="28" t="s">
        <v>897</v>
      </c>
      <c r="J17" s="20" t="s">
        <v>21</v>
      </c>
      <c r="K17" s="27" t="s">
        <v>894</v>
      </c>
    </row>
    <row r="18">
      <c r="A18" s="21" t="s">
        <v>880</v>
      </c>
      <c r="B18" s="21" t="s">
        <v>914</v>
      </c>
      <c r="C18" s="21" t="s">
        <v>33</v>
      </c>
      <c r="D18" s="21">
        <v>6.0</v>
      </c>
      <c r="E18" s="21" t="s">
        <v>299</v>
      </c>
      <c r="F18" s="21">
        <v>2025.0</v>
      </c>
      <c r="G18" s="22">
        <f>+6285259066312</f>
        <v>6285259066312</v>
      </c>
      <c r="H18" s="22">
        <f>+6282140605501</f>
        <v>6282140605501</v>
      </c>
      <c r="I18" s="20" t="s">
        <v>875</v>
      </c>
      <c r="J18" s="20" t="s">
        <v>21</v>
      </c>
      <c r="K18" s="27" t="s">
        <v>894</v>
      </c>
    </row>
    <row r="19">
      <c r="A19" s="21" t="s">
        <v>881</v>
      </c>
      <c r="B19" s="21" t="s">
        <v>915</v>
      </c>
      <c r="C19" s="21" t="s">
        <v>33</v>
      </c>
      <c r="D19" s="21">
        <v>4.0</v>
      </c>
      <c r="E19" s="21" t="s">
        <v>46</v>
      </c>
      <c r="F19" s="21">
        <v>2025.0</v>
      </c>
      <c r="G19" s="22">
        <f>+6285313265588</f>
        <v>6285313265588</v>
      </c>
      <c r="H19" s="22">
        <f>+6287764867208</f>
        <v>6287764867208</v>
      </c>
      <c r="I19" s="20" t="s">
        <v>875</v>
      </c>
      <c r="J19" s="20" t="s">
        <v>21</v>
      </c>
      <c r="K19" s="27" t="s">
        <v>894</v>
      </c>
    </row>
    <row r="20">
      <c r="A20" s="21" t="s">
        <v>638</v>
      </c>
      <c r="B20" s="21" t="s">
        <v>896</v>
      </c>
      <c r="C20" s="21" t="s">
        <v>33</v>
      </c>
      <c r="D20" s="21">
        <v>8.0</v>
      </c>
      <c r="E20" s="21" t="s">
        <v>160</v>
      </c>
      <c r="F20" s="21">
        <v>2025.0</v>
      </c>
      <c r="G20" s="22">
        <f>+6285646344218</f>
        <v>6285646344218</v>
      </c>
      <c r="H20" s="22">
        <f>+6285733646157</f>
        <v>6285733646157</v>
      </c>
      <c r="I20" s="28" t="s">
        <v>897</v>
      </c>
      <c r="J20" s="20" t="s">
        <v>21</v>
      </c>
      <c r="K20" s="27" t="s">
        <v>894</v>
      </c>
    </row>
    <row r="21">
      <c r="A21" s="21" t="s">
        <v>882</v>
      </c>
      <c r="B21" s="21" t="s">
        <v>916</v>
      </c>
      <c r="C21" s="21" t="s">
        <v>33</v>
      </c>
      <c r="D21" s="21">
        <v>2.0</v>
      </c>
      <c r="E21" s="21" t="s">
        <v>422</v>
      </c>
      <c r="F21" s="21">
        <v>2025.0</v>
      </c>
      <c r="G21" s="22">
        <f>+6282331529373</f>
        <v>6282331529373</v>
      </c>
      <c r="H21" s="22">
        <f>+6281944590943</f>
        <v>6281944590943</v>
      </c>
      <c r="I21" s="20" t="s">
        <v>875</v>
      </c>
      <c r="J21" s="20" t="s">
        <v>21</v>
      </c>
      <c r="K21" s="27" t="s">
        <v>894</v>
      </c>
    </row>
    <row r="22">
      <c r="A22" s="21" t="s">
        <v>468</v>
      </c>
      <c r="B22" s="21" t="s">
        <v>917</v>
      </c>
      <c r="C22" s="21" t="s">
        <v>33</v>
      </c>
      <c r="D22" s="21">
        <v>8.0</v>
      </c>
      <c r="E22" s="21" t="s">
        <v>37</v>
      </c>
      <c r="F22" s="21">
        <v>2025.0</v>
      </c>
      <c r="G22" s="22">
        <f>+6285258219163</f>
        <v>6285258219163</v>
      </c>
      <c r="H22" s="22">
        <f>+6285646464301</f>
        <v>6285646464301</v>
      </c>
      <c r="I22" s="20" t="s">
        <v>875</v>
      </c>
      <c r="J22" s="20" t="s">
        <v>21</v>
      </c>
      <c r="K22" s="27" t="s">
        <v>894</v>
      </c>
    </row>
    <row r="23">
      <c r="A23" s="21" t="s">
        <v>697</v>
      </c>
      <c r="B23" s="21" t="s">
        <v>914</v>
      </c>
      <c r="C23" s="21" t="s">
        <v>33</v>
      </c>
      <c r="D23" s="21">
        <v>6.0</v>
      </c>
      <c r="E23" s="21" t="s">
        <v>160</v>
      </c>
      <c r="F23" s="21">
        <v>2025.0</v>
      </c>
      <c r="G23" s="22">
        <f>+6285800666826</f>
        <v>6285800666826</v>
      </c>
      <c r="H23" s="22">
        <f>+6281390470125</f>
        <v>6281390470125</v>
      </c>
      <c r="I23" s="20" t="s">
        <v>875</v>
      </c>
      <c r="J23" s="20" t="s">
        <v>21</v>
      </c>
      <c r="K23" s="27" t="s">
        <v>894</v>
      </c>
    </row>
    <row r="24">
      <c r="A24" s="21" t="s">
        <v>883</v>
      </c>
      <c r="B24" s="21" t="s">
        <v>918</v>
      </c>
      <c r="C24" s="21" t="s">
        <v>33</v>
      </c>
      <c r="D24" s="21">
        <v>2.0</v>
      </c>
      <c r="E24" s="21" t="s">
        <v>142</v>
      </c>
      <c r="F24" s="21">
        <v>2025.0</v>
      </c>
      <c r="G24" s="22"/>
      <c r="H24" s="22">
        <f>+6285791904786</f>
        <v>6285791904786</v>
      </c>
      <c r="I24" s="20" t="s">
        <v>875</v>
      </c>
      <c r="J24" s="20" t="s">
        <v>21</v>
      </c>
      <c r="K24" s="27" t="s">
        <v>894</v>
      </c>
    </row>
    <row r="25">
      <c r="A25" s="21" t="s">
        <v>546</v>
      </c>
      <c r="B25" s="21" t="s">
        <v>919</v>
      </c>
      <c r="C25" s="21" t="s">
        <v>33</v>
      </c>
      <c r="D25" s="21">
        <v>2.0</v>
      </c>
      <c r="E25" s="21" t="s">
        <v>72</v>
      </c>
      <c r="F25" s="21">
        <v>2025.0</v>
      </c>
      <c r="G25" s="22"/>
      <c r="H25" s="22">
        <f>+6285707744517</f>
        <v>6285707744517</v>
      </c>
      <c r="I25" s="20" t="s">
        <v>875</v>
      </c>
      <c r="J25" s="20" t="s">
        <v>21</v>
      </c>
      <c r="K25" s="27" t="s">
        <v>894</v>
      </c>
    </row>
    <row r="26">
      <c r="A26" s="21" t="s">
        <v>622</v>
      </c>
      <c r="B26" s="21" t="s">
        <v>920</v>
      </c>
      <c r="C26" s="21" t="s">
        <v>33</v>
      </c>
      <c r="D26" s="21">
        <v>6.0</v>
      </c>
      <c r="E26" s="21" t="s">
        <v>160</v>
      </c>
      <c r="F26" s="21">
        <v>2025.0</v>
      </c>
      <c r="G26" s="22">
        <f>+6285716157204</f>
        <v>6285716157204</v>
      </c>
      <c r="H26" s="22">
        <f>+6285808474442</f>
        <v>6285808474442</v>
      </c>
      <c r="I26" s="20" t="s">
        <v>875</v>
      </c>
      <c r="J26" s="20" t="s">
        <v>21</v>
      </c>
      <c r="K26" s="27" t="s">
        <v>894</v>
      </c>
    </row>
    <row r="27">
      <c r="A27" s="21" t="s">
        <v>884</v>
      </c>
      <c r="B27" s="21" t="s">
        <v>921</v>
      </c>
      <c r="C27" s="21" t="s">
        <v>33</v>
      </c>
      <c r="D27" s="21">
        <v>2.0</v>
      </c>
      <c r="E27" s="21" t="s">
        <v>25</v>
      </c>
      <c r="F27" s="21">
        <v>2025.0</v>
      </c>
      <c r="G27" s="22">
        <f>+6285382208367</f>
        <v>6285382208367</v>
      </c>
      <c r="H27" s="22">
        <f>+6285266955416</f>
        <v>6285266955416</v>
      </c>
      <c r="I27" s="20" t="s">
        <v>875</v>
      </c>
      <c r="J27" s="20" t="s">
        <v>21</v>
      </c>
      <c r="K27" s="27" t="s">
        <v>894</v>
      </c>
    </row>
    <row r="28">
      <c r="A28" s="21" t="s">
        <v>153</v>
      </c>
      <c r="B28" s="21" t="s">
        <v>922</v>
      </c>
      <c r="C28" s="21" t="s">
        <v>33</v>
      </c>
      <c r="D28" s="21">
        <v>8.0</v>
      </c>
      <c r="E28" s="21" t="s">
        <v>151</v>
      </c>
      <c r="F28" s="21">
        <v>2025.0</v>
      </c>
      <c r="G28" s="22"/>
      <c r="H28" s="22">
        <f>+6281913080601</f>
        <v>6281913080601</v>
      </c>
      <c r="I28" s="20" t="s">
        <v>875</v>
      </c>
      <c r="J28" s="20" t="s">
        <v>21</v>
      </c>
      <c r="K28" s="27" t="s">
        <v>894</v>
      </c>
    </row>
    <row r="29">
      <c r="A29" s="21" t="s">
        <v>923</v>
      </c>
      <c r="B29" s="21" t="s">
        <v>902</v>
      </c>
      <c r="C29" s="21" t="s">
        <v>33</v>
      </c>
      <c r="D29" s="21">
        <v>8.0</v>
      </c>
      <c r="E29" s="21" t="s">
        <v>275</v>
      </c>
      <c r="F29" s="21">
        <v>2025.0</v>
      </c>
      <c r="G29" s="22">
        <f>+6287700311639</f>
        <v>6287700311639</v>
      </c>
      <c r="H29" s="22">
        <f>+6285731106179</f>
        <v>6285731106179</v>
      </c>
      <c r="I29" s="28" t="s">
        <v>897</v>
      </c>
      <c r="J29" s="20" t="s">
        <v>21</v>
      </c>
      <c r="K29" s="27" t="s">
        <v>894</v>
      </c>
    </row>
    <row r="30">
      <c r="A30" s="21" t="s">
        <v>483</v>
      </c>
      <c r="B30" s="21" t="s">
        <v>895</v>
      </c>
      <c r="C30" s="21" t="s">
        <v>33</v>
      </c>
      <c r="D30" s="21">
        <v>8.0</v>
      </c>
      <c r="E30" s="21" t="s">
        <v>236</v>
      </c>
      <c r="F30" s="21">
        <v>2025.0</v>
      </c>
      <c r="G30" s="22">
        <f>+6285228855801</f>
        <v>6285228855801</v>
      </c>
      <c r="H30" s="22">
        <f>+6285972709663</f>
        <v>6285972709663</v>
      </c>
      <c r="I30" s="20" t="s">
        <v>875</v>
      </c>
      <c r="J30" s="20" t="s">
        <v>21</v>
      </c>
      <c r="K30" s="27" t="s">
        <v>894</v>
      </c>
    </row>
    <row r="31">
      <c r="A31" s="21" t="s">
        <v>389</v>
      </c>
      <c r="B31" s="21" t="s">
        <v>924</v>
      </c>
      <c r="C31" s="21" t="s">
        <v>33</v>
      </c>
      <c r="D31" s="21">
        <v>6.0</v>
      </c>
      <c r="E31" s="21" t="s">
        <v>25</v>
      </c>
      <c r="F31" s="21">
        <v>2025.0</v>
      </c>
      <c r="G31" s="22"/>
      <c r="H31" s="22">
        <f>+6281259982428</f>
        <v>6281259982428</v>
      </c>
      <c r="I31" s="28" t="s">
        <v>897</v>
      </c>
      <c r="J31" s="20" t="s">
        <v>21</v>
      </c>
      <c r="K31" s="27" t="s">
        <v>894</v>
      </c>
    </row>
    <row r="32">
      <c r="A32" s="21" t="s">
        <v>308</v>
      </c>
      <c r="B32" s="21" t="s">
        <v>925</v>
      </c>
      <c r="C32" s="21" t="s">
        <v>33</v>
      </c>
      <c r="D32" s="21">
        <v>8.0</v>
      </c>
      <c r="E32" s="21" t="s">
        <v>178</v>
      </c>
      <c r="F32" s="21">
        <v>2025.0</v>
      </c>
      <c r="G32" s="22">
        <f>+6285234855789</f>
        <v>6285234855789</v>
      </c>
      <c r="H32" s="22">
        <f>+6285231855789</f>
        <v>6285231855789</v>
      </c>
      <c r="I32" s="20" t="s">
        <v>875</v>
      </c>
      <c r="J32" s="20" t="s">
        <v>21</v>
      </c>
      <c r="K32" s="27" t="s">
        <v>894</v>
      </c>
    </row>
    <row r="33">
      <c r="A33" s="21" t="s">
        <v>461</v>
      </c>
      <c r="B33" s="21" t="s">
        <v>926</v>
      </c>
      <c r="C33" s="21" t="s">
        <v>33</v>
      </c>
      <c r="D33" s="21">
        <v>4.0</v>
      </c>
      <c r="E33" s="21" t="s">
        <v>195</v>
      </c>
      <c r="F33" s="21">
        <v>2025.0</v>
      </c>
      <c r="G33" s="22">
        <f t="shared" ref="G33:H33" si="3">+6285290556613</f>
        <v>6285290556613</v>
      </c>
      <c r="H33" s="22">
        <f t="shared" si="3"/>
        <v>6285290556613</v>
      </c>
      <c r="I33" s="20" t="s">
        <v>875</v>
      </c>
      <c r="J33" s="20" t="s">
        <v>21</v>
      </c>
      <c r="K33" s="27" t="s">
        <v>894</v>
      </c>
    </row>
    <row r="34">
      <c r="A34" s="21" t="s">
        <v>39</v>
      </c>
      <c r="B34" s="21" t="s">
        <v>916</v>
      </c>
      <c r="C34" s="21" t="s">
        <v>33</v>
      </c>
      <c r="D34" s="21">
        <v>2.0</v>
      </c>
      <c r="E34" s="21" t="s">
        <v>37</v>
      </c>
      <c r="F34" s="21">
        <v>2025.0</v>
      </c>
      <c r="G34" s="22">
        <f>+6281330317027</f>
        <v>6281330317027</v>
      </c>
      <c r="H34" s="22">
        <f>+6281515540614</f>
        <v>6281515540614</v>
      </c>
      <c r="I34" s="20" t="s">
        <v>875</v>
      </c>
      <c r="J34" s="20" t="s">
        <v>21</v>
      </c>
      <c r="K34" s="27" t="s">
        <v>894</v>
      </c>
    </row>
    <row r="35">
      <c r="A35" s="21" t="s">
        <v>591</v>
      </c>
      <c r="B35" s="21" t="s">
        <v>927</v>
      </c>
      <c r="C35" s="21" t="s">
        <v>33</v>
      </c>
      <c r="D35" s="21">
        <v>6.0</v>
      </c>
      <c r="E35" s="21" t="s">
        <v>589</v>
      </c>
      <c r="F35" s="21">
        <v>2025.0</v>
      </c>
      <c r="G35" s="22"/>
      <c r="H35" s="22">
        <f>+6285925790692</f>
        <v>6285925790692</v>
      </c>
      <c r="I35" s="20" t="s">
        <v>875</v>
      </c>
      <c r="J35" s="20" t="s">
        <v>21</v>
      </c>
      <c r="K35" s="27" t="s">
        <v>894</v>
      </c>
    </row>
    <row r="36">
      <c r="A36" s="21" t="s">
        <v>885</v>
      </c>
      <c r="B36" s="21" t="s">
        <v>928</v>
      </c>
      <c r="C36" s="21" t="s">
        <v>33</v>
      </c>
      <c r="D36" s="21">
        <v>2.0</v>
      </c>
      <c r="E36" s="21" t="s">
        <v>107</v>
      </c>
      <c r="F36" s="21">
        <v>2025.0</v>
      </c>
      <c r="G36" s="22">
        <f>+6281333815282</f>
        <v>6281333815282</v>
      </c>
      <c r="H36" s="22">
        <f>+6285604887236</f>
        <v>6285604887236</v>
      </c>
      <c r="I36" s="20" t="s">
        <v>875</v>
      </c>
      <c r="J36" s="20" t="s">
        <v>21</v>
      </c>
      <c r="K36" s="27" t="s">
        <v>894</v>
      </c>
    </row>
    <row r="37">
      <c r="A37" s="21" t="s">
        <v>886</v>
      </c>
      <c r="B37" s="21" t="s">
        <v>918</v>
      </c>
      <c r="C37" s="21" t="s">
        <v>33</v>
      </c>
      <c r="D37" s="21">
        <v>2.0</v>
      </c>
      <c r="E37" s="21" t="s">
        <v>81</v>
      </c>
      <c r="F37" s="21">
        <v>2025.0</v>
      </c>
      <c r="G37" s="22">
        <f>+6260149166030</f>
        <v>6260149166030</v>
      </c>
      <c r="H37" s="22">
        <f>+6285608625860</f>
        <v>6285608625860</v>
      </c>
      <c r="I37" s="20" t="s">
        <v>875</v>
      </c>
      <c r="J37" s="20" t="s">
        <v>21</v>
      </c>
      <c r="K37" s="27" t="s">
        <v>894</v>
      </c>
    </row>
    <row r="38">
      <c r="A38" s="21" t="s">
        <v>929</v>
      </c>
      <c r="B38" s="21" t="s">
        <v>927</v>
      </c>
      <c r="C38" s="21" t="s">
        <v>33</v>
      </c>
      <c r="D38" s="21">
        <v>8.0</v>
      </c>
      <c r="E38" s="21" t="s">
        <v>665</v>
      </c>
      <c r="F38" s="21">
        <v>2025.0</v>
      </c>
      <c r="G38" s="22"/>
      <c r="H38" s="22">
        <f>+6287753701020</f>
        <v>6287753701020</v>
      </c>
      <c r="I38" s="28" t="s">
        <v>897</v>
      </c>
      <c r="J38" s="20" t="s">
        <v>21</v>
      </c>
      <c r="K38" s="27" t="s">
        <v>894</v>
      </c>
    </row>
    <row r="39">
      <c r="A39" s="21" t="s">
        <v>135</v>
      </c>
      <c r="B39" s="21" t="s">
        <v>930</v>
      </c>
      <c r="C39" s="21" t="s">
        <v>33</v>
      </c>
      <c r="D39" s="21">
        <v>6.0</v>
      </c>
      <c r="E39" s="21" t="s">
        <v>133</v>
      </c>
      <c r="F39" s="21">
        <v>2025.0</v>
      </c>
      <c r="G39" s="22">
        <f>+6282289910869</f>
        <v>6282289910869</v>
      </c>
      <c r="H39" s="22">
        <f>+6289527220160</f>
        <v>6289527220160</v>
      </c>
      <c r="I39" s="28" t="s">
        <v>897</v>
      </c>
      <c r="J39" s="20" t="s">
        <v>21</v>
      </c>
      <c r="K39" s="27" t="s">
        <v>894</v>
      </c>
    </row>
    <row r="40">
      <c r="A40" s="21" t="s">
        <v>212</v>
      </c>
      <c r="B40" s="21" t="s">
        <v>931</v>
      </c>
      <c r="C40" s="21" t="s">
        <v>33</v>
      </c>
      <c r="D40" s="21">
        <v>4.0</v>
      </c>
      <c r="E40" s="21" t="s">
        <v>72</v>
      </c>
      <c r="F40" s="21">
        <v>2025.0</v>
      </c>
      <c r="G40" s="22"/>
      <c r="H40" s="22">
        <f>+6281275902829</f>
        <v>6281275902829</v>
      </c>
      <c r="I40" s="20" t="s">
        <v>875</v>
      </c>
      <c r="J40" s="20" t="s">
        <v>21</v>
      </c>
      <c r="K40" s="27" t="s">
        <v>894</v>
      </c>
    </row>
    <row r="41">
      <c r="A41" s="21" t="s">
        <v>144</v>
      </c>
      <c r="B41" s="21" t="s">
        <v>920</v>
      </c>
      <c r="C41" s="21" t="s">
        <v>33</v>
      </c>
      <c r="D41" s="21">
        <v>6.0</v>
      </c>
      <c r="E41" s="21" t="s">
        <v>142</v>
      </c>
      <c r="F41" s="21">
        <v>2025.0</v>
      </c>
      <c r="G41" s="22"/>
      <c r="H41" s="22">
        <f>+6282399597854</f>
        <v>6282399597854</v>
      </c>
      <c r="I41" s="20" t="s">
        <v>875</v>
      </c>
      <c r="J41" s="20" t="s">
        <v>21</v>
      </c>
      <c r="K41" s="27" t="s">
        <v>894</v>
      </c>
    </row>
    <row r="42">
      <c r="A42" s="21" t="s">
        <v>705</v>
      </c>
      <c r="B42" s="21" t="s">
        <v>932</v>
      </c>
      <c r="C42" s="21" t="s">
        <v>33</v>
      </c>
      <c r="D42" s="21">
        <v>6.0</v>
      </c>
      <c r="E42" s="21" t="s">
        <v>116</v>
      </c>
      <c r="F42" s="21">
        <v>2025.0</v>
      </c>
      <c r="G42" s="22">
        <f>+6281278913259</f>
        <v>6281278913259</v>
      </c>
      <c r="H42" s="22">
        <f>+6285874008688</f>
        <v>6285874008688</v>
      </c>
      <c r="I42" s="28" t="s">
        <v>897</v>
      </c>
      <c r="J42" s="20" t="s">
        <v>21</v>
      </c>
      <c r="K42" s="27" t="s">
        <v>894</v>
      </c>
    </row>
    <row r="43">
      <c r="A43" s="21" t="s">
        <v>415</v>
      </c>
      <c r="B43" s="21" t="s">
        <v>933</v>
      </c>
      <c r="C43" s="21" t="s">
        <v>33</v>
      </c>
      <c r="D43" s="21">
        <v>6.0</v>
      </c>
      <c r="E43" s="21" t="s">
        <v>413</v>
      </c>
      <c r="F43" s="21">
        <v>2025.0</v>
      </c>
      <c r="G43" s="22"/>
      <c r="H43" s="22">
        <f>+6281539282914</f>
        <v>6281539282914</v>
      </c>
      <c r="I43" s="20" t="s">
        <v>875</v>
      </c>
      <c r="J43" s="20" t="s">
        <v>21</v>
      </c>
      <c r="K43" s="27" t="s">
        <v>894</v>
      </c>
    </row>
    <row r="44">
      <c r="A44" s="21" t="s">
        <v>323</v>
      </c>
      <c r="B44" s="21" t="s">
        <v>900</v>
      </c>
      <c r="C44" s="21" t="s">
        <v>33</v>
      </c>
      <c r="D44" s="21">
        <v>6.0</v>
      </c>
      <c r="E44" s="21" t="s">
        <v>321</v>
      </c>
      <c r="F44" s="21">
        <v>2025.0</v>
      </c>
      <c r="G44" s="22">
        <f>+6281329199468</f>
        <v>6281329199468</v>
      </c>
      <c r="H44" s="22">
        <f>+6287875300953</f>
        <v>6287875300953</v>
      </c>
      <c r="I44" s="20" t="s">
        <v>875</v>
      </c>
      <c r="J44" s="20" t="s">
        <v>21</v>
      </c>
      <c r="K44" s="27" t="s">
        <v>894</v>
      </c>
    </row>
    <row r="45">
      <c r="A45" s="21" t="s">
        <v>383</v>
      </c>
      <c r="B45" s="21" t="s">
        <v>924</v>
      </c>
      <c r="C45" s="21" t="s">
        <v>33</v>
      </c>
      <c r="D45" s="21">
        <v>6.0</v>
      </c>
      <c r="E45" s="21" t="s">
        <v>46</v>
      </c>
      <c r="F45" s="21">
        <v>2025.0</v>
      </c>
      <c r="G45" s="22">
        <f>+628563558027</f>
        <v>628563558027</v>
      </c>
      <c r="H45" s="22">
        <f>+6285606303894</f>
        <v>6285606303894</v>
      </c>
      <c r="I45" s="28" t="s">
        <v>897</v>
      </c>
      <c r="J45" s="20" t="s">
        <v>21</v>
      </c>
      <c r="K45" s="27" t="s">
        <v>894</v>
      </c>
    </row>
    <row r="46">
      <c r="A46" s="21" t="s">
        <v>162</v>
      </c>
      <c r="B46" s="21" t="s">
        <v>899</v>
      </c>
      <c r="C46" s="21" t="s">
        <v>33</v>
      </c>
      <c r="D46" s="21">
        <v>8.0</v>
      </c>
      <c r="E46" s="21" t="s">
        <v>160</v>
      </c>
      <c r="F46" s="21">
        <v>2025.0</v>
      </c>
      <c r="G46" s="22"/>
      <c r="H46" s="22">
        <f>+6289678962686</f>
        <v>6289678962686</v>
      </c>
      <c r="I46" s="28" t="s">
        <v>897</v>
      </c>
      <c r="J46" s="20" t="s">
        <v>21</v>
      </c>
      <c r="K46" s="27" t="s">
        <v>894</v>
      </c>
    </row>
    <row r="47">
      <c r="A47" s="21" t="s">
        <v>439</v>
      </c>
      <c r="B47" s="21" t="s">
        <v>922</v>
      </c>
      <c r="C47" s="21" t="s">
        <v>33</v>
      </c>
      <c r="D47" s="21">
        <v>8.0</v>
      </c>
      <c r="E47" s="21" t="s">
        <v>46</v>
      </c>
      <c r="F47" s="21">
        <v>2025.0</v>
      </c>
      <c r="G47" s="22">
        <f>+6288223567511</f>
        <v>6288223567511</v>
      </c>
      <c r="H47" s="22">
        <f>+62881026332138</f>
        <v>62881026332138</v>
      </c>
      <c r="I47" s="20" t="s">
        <v>875</v>
      </c>
      <c r="J47" s="20" t="s">
        <v>21</v>
      </c>
      <c r="K47" s="27" t="s">
        <v>894</v>
      </c>
    </row>
    <row r="48">
      <c r="A48" s="21" t="s">
        <v>490</v>
      </c>
      <c r="B48" s="21" t="s">
        <v>934</v>
      </c>
      <c r="C48" s="21" t="s">
        <v>33</v>
      </c>
      <c r="D48" s="21">
        <v>4.0</v>
      </c>
      <c r="E48" s="21" t="s">
        <v>195</v>
      </c>
      <c r="F48" s="21">
        <v>2025.0</v>
      </c>
      <c r="G48" s="22">
        <f>+6281632404032</f>
        <v>6281632404032</v>
      </c>
      <c r="H48" s="22">
        <f>+6281234303892</f>
        <v>6281234303892</v>
      </c>
      <c r="I48" s="20" t="s">
        <v>875</v>
      </c>
      <c r="J48" s="20" t="s">
        <v>21</v>
      </c>
      <c r="K48" s="27" t="s">
        <v>894</v>
      </c>
    </row>
    <row r="49">
      <c r="A49" s="21" t="s">
        <v>935</v>
      </c>
      <c r="B49" s="21" t="s">
        <v>936</v>
      </c>
      <c r="C49" s="21" t="s">
        <v>33</v>
      </c>
      <c r="D49" s="21">
        <v>8.0</v>
      </c>
      <c r="E49" s="21" t="s">
        <v>559</v>
      </c>
      <c r="F49" s="21">
        <v>2025.0</v>
      </c>
      <c r="G49" s="22">
        <f>+6283835711379</f>
        <v>6283835711379</v>
      </c>
      <c r="H49" s="22">
        <f>+6283144419132</f>
        <v>6283144419132</v>
      </c>
      <c r="I49" s="28" t="s">
        <v>897</v>
      </c>
      <c r="J49" s="20" t="s">
        <v>21</v>
      </c>
      <c r="K49" s="27" t="s">
        <v>894</v>
      </c>
    </row>
    <row r="50">
      <c r="A50" s="21" t="s">
        <v>506</v>
      </c>
      <c r="B50" s="21" t="s">
        <v>893</v>
      </c>
      <c r="C50" s="21" t="s">
        <v>33</v>
      </c>
      <c r="D50" s="21">
        <v>4.0</v>
      </c>
      <c r="E50" s="21" t="s">
        <v>46</v>
      </c>
      <c r="F50" s="21">
        <v>2025.0</v>
      </c>
      <c r="G50" s="22">
        <f>+6285745493708</f>
        <v>6285745493708</v>
      </c>
      <c r="H50" s="22">
        <f>+6285817888406</f>
        <v>6285817888406</v>
      </c>
      <c r="I50" s="20" t="s">
        <v>875</v>
      </c>
      <c r="J50" s="20" t="s">
        <v>21</v>
      </c>
      <c r="K50" s="27" t="s">
        <v>894</v>
      </c>
    </row>
    <row r="51">
      <c r="A51" s="21" t="s">
        <v>599</v>
      </c>
      <c r="B51" s="21" t="s">
        <v>917</v>
      </c>
      <c r="C51" s="21" t="s">
        <v>33</v>
      </c>
      <c r="D51" s="21">
        <v>8.0</v>
      </c>
      <c r="E51" s="21" t="s">
        <v>518</v>
      </c>
      <c r="F51" s="21">
        <v>2025.0</v>
      </c>
      <c r="G51" s="22"/>
      <c r="H51" s="22">
        <f>+6285748552173</f>
        <v>6285748552173</v>
      </c>
      <c r="I51" s="20" t="s">
        <v>875</v>
      </c>
      <c r="J51" s="20" t="s">
        <v>21</v>
      </c>
      <c r="K51" s="27" t="s">
        <v>894</v>
      </c>
    </row>
    <row r="52">
      <c r="A52" s="21" t="s">
        <v>197</v>
      </c>
      <c r="B52" s="21" t="s">
        <v>926</v>
      </c>
      <c r="C52" s="21" t="s">
        <v>33</v>
      </c>
      <c r="D52" s="21">
        <v>4.0</v>
      </c>
      <c r="E52" s="21" t="s">
        <v>195</v>
      </c>
      <c r="F52" s="21">
        <v>2025.0</v>
      </c>
      <c r="G52" s="22"/>
      <c r="H52" s="22">
        <f>+6285820081712</f>
        <v>6285820081712</v>
      </c>
      <c r="I52" s="20" t="s">
        <v>875</v>
      </c>
      <c r="J52" s="20" t="s">
        <v>21</v>
      </c>
      <c r="K52" s="27" t="s">
        <v>894</v>
      </c>
    </row>
    <row r="53">
      <c r="A53" s="21" t="s">
        <v>937</v>
      </c>
      <c r="B53" s="21" t="s">
        <v>938</v>
      </c>
      <c r="C53" s="21" t="s">
        <v>33</v>
      </c>
      <c r="D53" s="21">
        <v>8.0</v>
      </c>
      <c r="E53" s="21" t="s">
        <v>559</v>
      </c>
      <c r="F53" s="21">
        <v>2025.0</v>
      </c>
      <c r="G53" s="22"/>
      <c r="H53" s="22">
        <f>+6281226428404</f>
        <v>6281226428404</v>
      </c>
      <c r="I53" s="28" t="s">
        <v>897</v>
      </c>
      <c r="J53" s="20" t="s">
        <v>21</v>
      </c>
      <c r="K53" s="27" t="s">
        <v>894</v>
      </c>
    </row>
    <row r="54">
      <c r="A54" s="21" t="s">
        <v>887</v>
      </c>
      <c r="B54" s="21" t="s">
        <v>921</v>
      </c>
      <c r="C54" s="21" t="s">
        <v>33</v>
      </c>
      <c r="D54" s="21">
        <v>8.0</v>
      </c>
      <c r="E54" s="21" t="s">
        <v>25</v>
      </c>
      <c r="F54" s="21">
        <v>2025.0</v>
      </c>
      <c r="G54" s="22">
        <f>+6289612550050</f>
        <v>6289612550050</v>
      </c>
      <c r="H54" s="22">
        <f>+6285230381563</f>
        <v>6285230381563</v>
      </c>
      <c r="I54" s="20" t="s">
        <v>875</v>
      </c>
      <c r="J54" s="20" t="s">
        <v>21</v>
      </c>
      <c r="K54" s="27" t="s">
        <v>894</v>
      </c>
    </row>
    <row r="55">
      <c r="A55" s="21" t="s">
        <v>659</v>
      </c>
      <c r="B55" s="21" t="s">
        <v>939</v>
      </c>
      <c r="C55" s="21" t="s">
        <v>33</v>
      </c>
      <c r="D55" s="21">
        <v>4.0</v>
      </c>
      <c r="E55" s="21" t="s">
        <v>116</v>
      </c>
      <c r="F55" s="21">
        <v>2025.0</v>
      </c>
      <c r="G55" s="22">
        <f t="shared" ref="G55:G56" si="4">+628111197289</f>
        <v>628111197289</v>
      </c>
      <c r="H55" s="22">
        <f>+6283831333692</f>
        <v>6283831333692</v>
      </c>
      <c r="I55" s="28" t="s">
        <v>897</v>
      </c>
      <c r="J55" s="20" t="s">
        <v>21</v>
      </c>
      <c r="K55" s="27" t="s">
        <v>894</v>
      </c>
    </row>
    <row r="56">
      <c r="A56" s="21" t="s">
        <v>180</v>
      </c>
      <c r="B56" s="21" t="s">
        <v>939</v>
      </c>
      <c r="C56" s="21" t="s">
        <v>33</v>
      </c>
      <c r="D56" s="21">
        <v>8.0</v>
      </c>
      <c r="E56" s="21" t="s">
        <v>178</v>
      </c>
      <c r="F56" s="21">
        <v>2025.0</v>
      </c>
      <c r="G56" s="22">
        <f t="shared" si="4"/>
        <v>628111197289</v>
      </c>
      <c r="H56" s="22">
        <f>+6283831333693</f>
        <v>6283831333693</v>
      </c>
      <c r="I56" s="28" t="s">
        <v>897</v>
      </c>
      <c r="J56" s="20" t="s">
        <v>21</v>
      </c>
      <c r="K56" s="27" t="s">
        <v>894</v>
      </c>
    </row>
    <row r="57">
      <c r="A57" s="21" t="s">
        <v>532</v>
      </c>
      <c r="B57" s="21" t="s">
        <v>915</v>
      </c>
      <c r="C57" s="21" t="s">
        <v>33</v>
      </c>
      <c r="D57" s="21">
        <v>2.0</v>
      </c>
      <c r="E57" s="21" t="s">
        <v>530</v>
      </c>
      <c r="F57" s="21">
        <v>2025.0</v>
      </c>
      <c r="G57" s="22">
        <f>+628895109540</f>
        <v>628895109540</v>
      </c>
      <c r="H57" s="22">
        <f>+628813753647</f>
        <v>628813753647</v>
      </c>
      <c r="I57" s="20" t="s">
        <v>875</v>
      </c>
      <c r="J57" s="20" t="s">
        <v>21</v>
      </c>
      <c r="K57" s="27" t="s">
        <v>894</v>
      </c>
    </row>
    <row r="58">
      <c r="A58" s="21" t="s">
        <v>889</v>
      </c>
      <c r="B58" s="21" t="s">
        <v>932</v>
      </c>
      <c r="C58" s="21" t="s">
        <v>33</v>
      </c>
      <c r="D58" s="21">
        <v>6.0</v>
      </c>
      <c r="E58" s="21" t="s">
        <v>116</v>
      </c>
      <c r="F58" s="21">
        <v>2025.0</v>
      </c>
      <c r="G58" s="22">
        <f>+6285855657841</f>
        <v>6285855657841</v>
      </c>
      <c r="H58" s="22">
        <f>+6282132795556</f>
        <v>6282132795556</v>
      </c>
      <c r="I58" s="20" t="s">
        <v>875</v>
      </c>
      <c r="J58" s="20" t="s">
        <v>21</v>
      </c>
      <c r="K58" s="27" t="s">
        <v>894</v>
      </c>
    </row>
    <row r="59">
      <c r="A59" s="21" t="s">
        <v>315</v>
      </c>
      <c r="B59" s="21" t="s">
        <v>919</v>
      </c>
      <c r="C59" s="21" t="s">
        <v>33</v>
      </c>
      <c r="D59" s="21">
        <v>2.0</v>
      </c>
      <c r="E59" s="21" t="s">
        <v>46</v>
      </c>
      <c r="F59" s="21">
        <v>2025.0</v>
      </c>
      <c r="G59" s="22">
        <f>+6285815343144</f>
        <v>6285815343144</v>
      </c>
      <c r="H59" s="22">
        <f>+6285648848766</f>
        <v>6285648848766</v>
      </c>
      <c r="I59" s="20" t="s">
        <v>875</v>
      </c>
      <c r="J59" s="20" t="s">
        <v>21</v>
      </c>
      <c r="K59" s="27" t="s">
        <v>894</v>
      </c>
    </row>
    <row r="60">
      <c r="A60" s="21" t="s">
        <v>188</v>
      </c>
      <c r="B60" s="21" t="s">
        <v>930</v>
      </c>
      <c r="C60" s="21" t="s">
        <v>33</v>
      </c>
      <c r="D60" s="21">
        <v>6.0</v>
      </c>
      <c r="E60" s="21" t="s">
        <v>46</v>
      </c>
      <c r="F60" s="21">
        <v>2025.0</v>
      </c>
      <c r="G60" s="22">
        <f>+6281336009785</f>
        <v>6281336009785</v>
      </c>
      <c r="H60" s="22">
        <f>+6281358688875</f>
        <v>6281358688875</v>
      </c>
      <c r="I60" s="20" t="s">
        <v>875</v>
      </c>
      <c r="J60" s="20" t="s">
        <v>21</v>
      </c>
      <c r="K60" s="27" t="s">
        <v>894</v>
      </c>
    </row>
    <row r="61">
      <c r="A61" s="21" t="s">
        <v>576</v>
      </c>
      <c r="B61" s="21" t="s">
        <v>910</v>
      </c>
      <c r="C61" s="21" t="s">
        <v>33</v>
      </c>
      <c r="D61" s="21">
        <v>2.0</v>
      </c>
      <c r="E61" s="21" t="s">
        <v>574</v>
      </c>
      <c r="F61" s="21">
        <v>2025.0</v>
      </c>
      <c r="G61" s="22">
        <f>+6281217659357</f>
        <v>6281217659357</v>
      </c>
      <c r="H61" s="22">
        <f>+6282333878623</f>
        <v>6282333878623</v>
      </c>
      <c r="I61" s="20" t="s">
        <v>875</v>
      </c>
      <c r="J61" s="20" t="s">
        <v>21</v>
      </c>
      <c r="K61" s="27" t="s">
        <v>894</v>
      </c>
    </row>
    <row r="62">
      <c r="A62" s="21" t="s">
        <v>890</v>
      </c>
      <c r="B62" s="21" t="s">
        <v>925</v>
      </c>
      <c r="C62" s="21" t="s">
        <v>33</v>
      </c>
      <c r="D62" s="21">
        <v>8.0</v>
      </c>
      <c r="E62" s="21" t="s">
        <v>46</v>
      </c>
      <c r="F62" s="21">
        <v>2025.0</v>
      </c>
      <c r="G62" s="22"/>
      <c r="H62" s="22">
        <f>+6282139819010</f>
        <v>6282139819010</v>
      </c>
      <c r="I62" s="20" t="s">
        <v>875</v>
      </c>
      <c r="J62" s="20" t="s">
        <v>21</v>
      </c>
      <c r="K62" s="27" t="s">
        <v>894</v>
      </c>
    </row>
    <row r="63">
      <c r="A63" s="21" t="s">
        <v>220</v>
      </c>
      <c r="B63" s="21" t="s">
        <v>934</v>
      </c>
      <c r="C63" s="21" t="s">
        <v>33</v>
      </c>
      <c r="D63" s="21">
        <v>2.0</v>
      </c>
      <c r="E63" s="21" t="s">
        <v>25</v>
      </c>
      <c r="F63" s="21">
        <v>2025.0</v>
      </c>
      <c r="G63" s="22">
        <f>+6287745675119</f>
        <v>6287745675119</v>
      </c>
      <c r="H63" s="22">
        <f>+6282131779022</f>
        <v>6282131779022</v>
      </c>
      <c r="I63" s="20" t="s">
        <v>875</v>
      </c>
      <c r="J63" s="20" t="s">
        <v>21</v>
      </c>
      <c r="K63" s="27" t="s">
        <v>894</v>
      </c>
    </row>
    <row r="64">
      <c r="A64" s="21" t="s">
        <v>349</v>
      </c>
      <c r="B64" s="21" t="s">
        <v>938</v>
      </c>
      <c r="C64" s="21" t="s">
        <v>33</v>
      </c>
      <c r="D64" s="21">
        <v>6.0</v>
      </c>
      <c r="E64" s="21" t="s">
        <v>25</v>
      </c>
      <c r="F64" s="21">
        <v>2025.0</v>
      </c>
      <c r="G64" s="22">
        <f>+6287779475332</f>
        <v>6287779475332</v>
      </c>
      <c r="H64" s="22">
        <f>+6285852850865</f>
        <v>6285852850865</v>
      </c>
      <c r="I64" s="20" t="s">
        <v>875</v>
      </c>
      <c r="J64" s="20" t="s">
        <v>21</v>
      </c>
      <c r="K64" s="27" t="s">
        <v>894</v>
      </c>
    </row>
    <row r="65">
      <c r="A65" s="21" t="s">
        <v>332</v>
      </c>
      <c r="B65" s="21" t="s">
        <v>928</v>
      </c>
      <c r="C65" s="21" t="s">
        <v>33</v>
      </c>
      <c r="D65" s="21">
        <v>2.0</v>
      </c>
      <c r="E65" s="21" t="s">
        <v>330</v>
      </c>
      <c r="F65" s="21">
        <v>2025.0</v>
      </c>
      <c r="G65" s="22">
        <f>+6285655953839</f>
        <v>6285655953839</v>
      </c>
      <c r="H65" s="22">
        <f>+6285707727515</f>
        <v>6285707727515</v>
      </c>
      <c r="I65" s="20" t="s">
        <v>875</v>
      </c>
      <c r="J65" s="20" t="s">
        <v>21</v>
      </c>
      <c r="K65" s="27" t="s">
        <v>894</v>
      </c>
    </row>
    <row r="66">
      <c r="A66" s="21" t="s">
        <v>447</v>
      </c>
      <c r="B66" s="21" t="s">
        <v>936</v>
      </c>
      <c r="C66" s="21" t="s">
        <v>33</v>
      </c>
      <c r="D66" s="21">
        <v>6.0</v>
      </c>
      <c r="E66" s="21" t="s">
        <v>116</v>
      </c>
      <c r="F66" s="21">
        <v>2025.0</v>
      </c>
      <c r="G66" s="22"/>
      <c r="H66" s="22">
        <f>+6285850811959</f>
        <v>6285850811959</v>
      </c>
      <c r="I66" s="28" t="s">
        <v>897</v>
      </c>
      <c r="J66" s="20" t="s">
        <v>21</v>
      </c>
      <c r="K66" s="27" t="s">
        <v>894</v>
      </c>
    </row>
    <row r="67">
      <c r="A67" s="21" t="s">
        <v>269</v>
      </c>
      <c r="B67" s="21" t="s">
        <v>908</v>
      </c>
      <c r="C67" s="21" t="s">
        <v>33</v>
      </c>
      <c r="D67" s="21">
        <v>2.0</v>
      </c>
      <c r="E67" s="21" t="s">
        <v>267</v>
      </c>
      <c r="F67" s="21">
        <v>2025.0</v>
      </c>
      <c r="G67" s="22"/>
      <c r="H67" s="22">
        <f>+6282257337689</f>
        <v>6282257337689</v>
      </c>
      <c r="I67" s="20" t="s">
        <v>875</v>
      </c>
      <c r="J67" s="20" t="s">
        <v>21</v>
      </c>
      <c r="K67" s="27" t="s">
        <v>894</v>
      </c>
    </row>
    <row r="68">
      <c r="A68" s="21" t="s">
        <v>891</v>
      </c>
      <c r="B68" s="21" t="s">
        <v>931</v>
      </c>
      <c r="C68" s="21" t="s">
        <v>33</v>
      </c>
      <c r="D68" s="21">
        <v>6.0</v>
      </c>
      <c r="E68" s="21" t="s">
        <v>523</v>
      </c>
      <c r="F68" s="21">
        <v>2025.0</v>
      </c>
      <c r="G68" s="22">
        <f>+6283140715998</f>
        <v>6283140715998</v>
      </c>
      <c r="H68" s="22">
        <f>+6283110072259</f>
        <v>6283110072259</v>
      </c>
      <c r="I68" s="20" t="s">
        <v>875</v>
      </c>
      <c r="J68" s="20" t="s">
        <v>21</v>
      </c>
      <c r="K68" s="27" t="s">
        <v>894</v>
      </c>
    </row>
    <row r="69">
      <c r="A69" s="21" t="s">
        <v>892</v>
      </c>
      <c r="B69" s="21" t="s">
        <v>911</v>
      </c>
      <c r="C69" s="21" t="s">
        <v>33</v>
      </c>
      <c r="D69" s="21">
        <v>6.0</v>
      </c>
      <c r="E69" s="21" t="s">
        <v>665</v>
      </c>
      <c r="F69" s="21">
        <v>2025.0</v>
      </c>
      <c r="G69" s="22">
        <f>+6285231501345</f>
        <v>6285231501345</v>
      </c>
      <c r="H69" s="22">
        <f>+6285936619468</f>
        <v>6285936619468</v>
      </c>
      <c r="I69" s="20" t="s">
        <v>875</v>
      </c>
      <c r="J69" s="20" t="s">
        <v>21</v>
      </c>
      <c r="K69" s="27" t="s">
        <v>894</v>
      </c>
    </row>
  </sheetData>
  <drawing r:id="rId1"/>
</worksheet>
</file>